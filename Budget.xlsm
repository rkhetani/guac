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819"/>
  <workbookPr date1904="1" codeName="ThisWorkbook" autoCompressPictures="0"/>
  <bookViews>
    <workbookView xWindow="5340" yWindow="1000" windowWidth="24240" windowHeight="17860" tabRatio="887" activeTab="1"/>
  </bookViews>
  <sheets>
    <sheet name="YR1" sheetId="30" r:id="rId1"/>
    <sheet name="YR2" sheetId="32" r:id="rId2"/>
  </sheets>
  <functionGroups builtInGroupCount="17"/>
  <definedNames>
    <definedName name="_xlnm.Print_Area" localSheetId="0">'YR1'!$A$1:$AJ$21</definedName>
    <definedName name="_xlnm.Print_Area" localSheetId="1">'YR2'!$A$1:$AJ$25</definedName>
    <definedName name="_xlnm.Print_Area">#REF!</definedName>
    <definedName name="Print_Area_MI" localSheetId="1">#REF!</definedName>
    <definedName name="Print_Area_MI">#REF!</definedName>
    <definedName name="Print_Titles_MI" localSheetId="1">#REF!</definedName>
    <definedName name="Print_Titles_MI">#REF!</definedName>
    <definedName name="PRSALARY" localSheetId="1" function="1" xlm="1" functionGroupId="14">#REF!</definedName>
    <definedName name="PRSALARY" function="1" xlm="1" functionGroupId="14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32" l="1"/>
  <c r="D25" i="32"/>
  <c r="F6" i="32"/>
  <c r="L6" i="32"/>
  <c r="M6" i="32"/>
  <c r="N6" i="32"/>
  <c r="N8" i="32"/>
  <c r="N10" i="32"/>
  <c r="N13" i="32"/>
  <c r="E25" i="32"/>
  <c r="I6" i="30"/>
  <c r="H30" i="32"/>
  <c r="H28" i="32"/>
  <c r="H29" i="32"/>
  <c r="H31" i="32"/>
  <c r="AJ21" i="32"/>
  <c r="AD6" i="32"/>
  <c r="W6" i="32"/>
  <c r="P6" i="32"/>
  <c r="I6" i="32"/>
  <c r="AG6" i="32"/>
  <c r="AG8" i="32"/>
  <c r="D6" i="32"/>
  <c r="A6" i="32"/>
  <c r="K5" i="32"/>
  <c r="Q5" i="32"/>
  <c r="R5" i="32"/>
  <c r="X5" i="32"/>
  <c r="Y5" i="32"/>
  <c r="AE5" i="32"/>
  <c r="AF5" i="32"/>
  <c r="S3" i="32"/>
  <c r="U3" i="32"/>
  <c r="Z3" i="32"/>
  <c r="AB3" i="32"/>
  <c r="AG3" i="32"/>
  <c r="AI3" i="32"/>
  <c r="N8" i="30"/>
  <c r="D21" i="30"/>
  <c r="L6" i="30"/>
  <c r="M6" i="30"/>
  <c r="F6" i="30"/>
  <c r="E6" i="30"/>
  <c r="P6" i="30"/>
  <c r="W6" i="30"/>
  <c r="AD6" i="30"/>
  <c r="Z6" i="32"/>
  <c r="S6" i="32"/>
  <c r="AH6" i="32"/>
  <c r="E21" i="30"/>
  <c r="S6" i="30"/>
  <c r="T6" i="30"/>
  <c r="AG6" i="30"/>
  <c r="AH6" i="30"/>
  <c r="AI6" i="30"/>
  <c r="AI7" i="30"/>
  <c r="AI9" i="30"/>
  <c r="AI10" i="30"/>
  <c r="AG7" i="30"/>
  <c r="Z6" i="30"/>
  <c r="K5" i="30"/>
  <c r="Q5" i="30"/>
  <c r="R5" i="30"/>
  <c r="X5" i="30"/>
  <c r="Y5" i="30"/>
  <c r="AE5" i="30"/>
  <c r="AF5" i="30"/>
  <c r="A6" i="30"/>
  <c r="M8" i="32"/>
  <c r="L8" i="32"/>
  <c r="N14" i="32"/>
  <c r="S8" i="32"/>
  <c r="T6" i="32"/>
  <c r="Z8" i="32"/>
  <c r="AA6" i="32"/>
  <c r="AH8" i="32"/>
  <c r="AI6" i="32"/>
  <c r="AI14" i="30"/>
  <c r="S7" i="30"/>
  <c r="AH7" i="30"/>
  <c r="AA6" i="30"/>
  <c r="Z7" i="30"/>
  <c r="AI11" i="30"/>
  <c r="AI15" i="30"/>
  <c r="U6" i="30"/>
  <c r="U7" i="30"/>
  <c r="U9" i="30"/>
  <c r="T7" i="30"/>
  <c r="AJ17" i="30"/>
  <c r="AI16" i="30"/>
  <c r="AI18" i="30"/>
  <c r="N18" i="32"/>
  <c r="N19" i="32"/>
  <c r="N15" i="32"/>
  <c r="AA8" i="32"/>
  <c r="AB6" i="32"/>
  <c r="AB8" i="32"/>
  <c r="AB13" i="32"/>
  <c r="AI8" i="32"/>
  <c r="U6" i="32"/>
  <c r="U8" i="32"/>
  <c r="U13" i="32"/>
  <c r="T8" i="32"/>
  <c r="U10" i="30"/>
  <c r="U14" i="30"/>
  <c r="AA7" i="30"/>
  <c r="AB6" i="30"/>
  <c r="AB7" i="30"/>
  <c r="AB9" i="30"/>
  <c r="D6" i="30"/>
  <c r="S3" i="30"/>
  <c r="U3" i="30"/>
  <c r="Z3" i="30"/>
  <c r="AB3" i="30"/>
  <c r="AG3" i="30"/>
  <c r="AI3" i="30"/>
  <c r="N20" i="32"/>
  <c r="N22" i="32"/>
  <c r="U18" i="32"/>
  <c r="U14" i="32"/>
  <c r="AJ6" i="32"/>
  <c r="AI13" i="32"/>
  <c r="AJ8" i="32"/>
  <c r="AB18" i="32"/>
  <c r="AB14" i="32"/>
  <c r="U15" i="30"/>
  <c r="U16" i="30"/>
  <c r="U18" i="30"/>
  <c r="U11" i="30"/>
  <c r="AB10" i="30"/>
  <c r="AB14" i="30"/>
  <c r="N6" i="30"/>
  <c r="AB15" i="32"/>
  <c r="AB19" i="32"/>
  <c r="AI14" i="32"/>
  <c r="AJ13" i="32"/>
  <c r="AJ18" i="32"/>
  <c r="AI18" i="32"/>
  <c r="AB20" i="32"/>
  <c r="AB22" i="32"/>
  <c r="U19" i="32"/>
  <c r="U20" i="32"/>
  <c r="U22" i="32"/>
  <c r="U15" i="32"/>
  <c r="AB15" i="30"/>
  <c r="AB16" i="30"/>
  <c r="AB18" i="30"/>
  <c r="AB11" i="30"/>
  <c r="M7" i="30"/>
  <c r="N7" i="30"/>
  <c r="L7" i="30"/>
  <c r="AI15" i="32"/>
  <c r="AJ15" i="32"/>
  <c r="AJ14" i="32"/>
  <c r="AJ19" i="32"/>
  <c r="AJ20" i="32"/>
  <c r="AI19" i="32"/>
  <c r="AI20" i="32"/>
  <c r="AI22" i="32"/>
  <c r="AJ22" i="32"/>
  <c r="AJ6" i="30"/>
  <c r="N9" i="30"/>
  <c r="N10" i="30"/>
  <c r="N14" i="30"/>
  <c r="N11" i="30"/>
  <c r="N15" i="30"/>
  <c r="N16" i="30"/>
  <c r="N18" i="30"/>
  <c r="AJ7" i="30"/>
  <c r="AJ9" i="30"/>
  <c r="AJ10" i="30"/>
  <c r="AJ11" i="30"/>
  <c r="AJ18" i="30"/>
  <c r="AJ14" i="30"/>
  <c r="AJ15" i="30"/>
  <c r="AJ16" i="30"/>
</calcChain>
</file>

<file path=xl/sharedStrings.xml><?xml version="1.0" encoding="utf-8"?>
<sst xmlns="http://schemas.openxmlformats.org/spreadsheetml/2006/main" count="189" uniqueCount="57">
  <si>
    <t>Total</t>
  </si>
  <si>
    <t>Salary</t>
  </si>
  <si>
    <t>Fringe</t>
  </si>
  <si>
    <t>Other Expenses</t>
  </si>
  <si>
    <t>Current</t>
  </si>
  <si>
    <t>%</t>
  </si>
  <si>
    <t>Project</t>
  </si>
  <si>
    <t>Annual</t>
  </si>
  <si>
    <t>Mon.</t>
  </si>
  <si>
    <t>Subtotal Personnel</t>
  </si>
  <si>
    <t>NA</t>
  </si>
  <si>
    <t>Vac Wks</t>
  </si>
  <si>
    <t>Salary Request</t>
  </si>
  <si>
    <t>Cal Mnths</t>
  </si>
  <si>
    <t>thru</t>
  </si>
  <si>
    <t>INSERT:</t>
  </si>
  <si>
    <t>Comments</t>
  </si>
  <si>
    <t>Fringe Benefits--Fiscal Year</t>
  </si>
  <si>
    <t xml:space="preserve"> Personnel</t>
  </si>
  <si>
    <t>variance</t>
  </si>
  <si>
    <t>FY16</t>
  </si>
  <si>
    <t>FY17</t>
  </si>
  <si>
    <t>FY18</t>
  </si>
  <si>
    <t>Year 1</t>
  </si>
  <si>
    <t>Year 2</t>
  </si>
  <si>
    <t>Year 3</t>
  </si>
  <si>
    <t>Year 4</t>
  </si>
  <si>
    <t>HSPH Year 1</t>
  </si>
  <si>
    <t>HSPH Year 2</t>
  </si>
  <si>
    <t>HSPH Year 3</t>
  </si>
  <si>
    <t>HSPH Year 4</t>
  </si>
  <si>
    <t>HSPH</t>
  </si>
  <si>
    <t>HSPH Direct</t>
  </si>
  <si>
    <t>HSPH Indirect</t>
  </si>
  <si>
    <t>TOTAL DIRECT</t>
  </si>
  <si>
    <t>TOTAL INDIRECT</t>
  </si>
  <si>
    <t>GRAND TOTAL YEAR 1</t>
  </si>
  <si>
    <t>GRAND TOTAL YEAR 2</t>
  </si>
  <si>
    <t>GRAND TOTAL YEAR 3</t>
  </si>
  <si>
    <t>GRAND TOTAL YEAR 4</t>
  </si>
  <si>
    <t>FY 1</t>
  </si>
  <si>
    <t>FY2</t>
  </si>
  <si>
    <t>Target</t>
  </si>
  <si>
    <t>GRAND TOTAL</t>
  </si>
  <si>
    <t>Principle Investigator</t>
  </si>
  <si>
    <t>Sponsor: Tufts</t>
  </si>
  <si>
    <t xml:space="preserve">HSPH - </t>
  </si>
  <si>
    <t>Catalyst - Funding Proposed for Bioinformatics Training</t>
  </si>
  <si>
    <t>PI: Radhika Khetani</t>
  </si>
  <si>
    <t>Radhika Khetani</t>
  </si>
  <si>
    <t>HBC Hours 0 Hours @ $125</t>
  </si>
  <si>
    <t>Support for material development from other trainers at the core (Mary Piper and Meeta Mistry) (40h at $125/h)</t>
  </si>
  <si>
    <t xml:space="preserve">Admin support by Mary Piper (10h at $125/h) </t>
  </si>
  <si>
    <t>IT costs</t>
  </si>
  <si>
    <t xml:space="preserve">Admin support by Shannan Ho Sui (15h at $125/h) </t>
  </si>
  <si>
    <t>HBC Hours 65 Hours @ $125</t>
  </si>
  <si>
    <t>Food costs ($350/workshop)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</si>
</sst>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General_)"/>
    <numFmt numFmtId="167" formatCode="0.0%"/>
    <numFmt numFmtId="168" formatCode="mm/dd/yy;@"/>
    <numFmt numFmtId="169" formatCode="_(* #,##0_);_(* \(#,##0\);_(* &quot;-&quot;??_);_(@_)"/>
  </numFmts>
  <fonts count="19" x14ac:knownFonts="1">
    <font>
      <sz val="10"/>
      <name val="Courier"/>
    </font>
    <font>
      <sz val="10"/>
      <name val="MS Sans Serif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Courier"/>
      <family val="3"/>
    </font>
    <font>
      <sz val="8"/>
      <name val="Courier"/>
      <family val="3"/>
    </font>
    <font>
      <b/>
      <sz val="11"/>
      <name val="Arial"/>
      <family val="2"/>
    </font>
    <font>
      <b/>
      <sz val="11"/>
      <name val="Courier"/>
      <family val="3"/>
    </font>
    <font>
      <sz val="11"/>
      <name val="Arial"/>
      <family val="2"/>
    </font>
    <font>
      <sz val="9"/>
      <name val="Courier"/>
      <family val="3"/>
    </font>
    <font>
      <sz val="11"/>
      <name val="Courier"/>
      <family val="3"/>
    </font>
    <font>
      <b/>
      <sz val="12"/>
      <name val="Arial"/>
      <family val="2"/>
    </font>
    <font>
      <sz val="12"/>
      <name val="Courier"/>
      <family val="3"/>
    </font>
    <font>
      <sz val="10"/>
      <name val="Courier"/>
    </font>
    <font>
      <sz val="11"/>
      <name val="Calibri"/>
      <family val="2"/>
    </font>
    <font>
      <sz val="10"/>
      <name val="Times New Roman"/>
      <family val="1"/>
    </font>
    <font>
      <u/>
      <sz val="10"/>
      <color theme="10"/>
      <name val="Courier"/>
    </font>
    <font>
      <u/>
      <sz val="10"/>
      <color theme="11"/>
      <name val="Courier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15"/>
      </left>
      <right style="thin">
        <color indexed="15"/>
      </right>
      <top style="thin">
        <color indexed="15"/>
      </top>
      <bottom style="thin">
        <color indexed="15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thin">
        <color auto="1"/>
      </left>
      <right style="medium">
        <color auto="1"/>
      </right>
      <top style="dashed">
        <color auto="1"/>
      </top>
      <bottom/>
      <diagonal/>
    </border>
    <border>
      <left/>
      <right/>
      <top style="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dashed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</borders>
  <cellStyleXfs count="13">
    <xf numFmtId="166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2" fillId="0" borderId="1" applyFill="0" applyBorder="0"/>
    <xf numFmtId="0" fontId="2" fillId="0" borderId="0"/>
    <xf numFmtId="9" fontId="1" fillId="0" borderId="0" applyFont="0" applyFill="0" applyBorder="0" applyAlignment="0" applyProtection="0"/>
    <xf numFmtId="165" fontId="14" fillId="0" borderId="0" applyFont="0" applyFill="0" applyBorder="0" applyAlignment="0" applyProtection="0"/>
    <xf numFmtId="166" fontId="17" fillId="0" borderId="0" applyNumberFormat="0" applyFill="0" applyBorder="0" applyAlignment="0" applyProtection="0"/>
    <xf numFmtId="166" fontId="18" fillId="0" borderId="0" applyNumberFormat="0" applyFill="0" applyBorder="0" applyAlignment="0" applyProtection="0"/>
    <xf numFmtId="166" fontId="17" fillId="0" borderId="0" applyNumberFormat="0" applyFill="0" applyBorder="0" applyAlignment="0" applyProtection="0"/>
    <xf numFmtId="166" fontId="18" fillId="0" borderId="0" applyNumberFormat="0" applyFill="0" applyBorder="0" applyAlignment="0" applyProtection="0"/>
    <xf numFmtId="166" fontId="17" fillId="0" borderId="0" applyNumberFormat="0" applyFill="0" applyBorder="0" applyAlignment="0" applyProtection="0"/>
    <xf numFmtId="166" fontId="18" fillId="0" borderId="0" applyNumberFormat="0" applyFill="0" applyBorder="0" applyAlignment="0" applyProtection="0"/>
  </cellStyleXfs>
  <cellXfs count="225">
    <xf numFmtId="166" fontId="0" fillId="0" borderId="0" xfId="0"/>
    <xf numFmtId="0" fontId="3" fillId="2" borderId="2" xfId="4" applyFont="1" applyFill="1" applyBorder="1" applyAlignment="1">
      <alignment horizontal="center" wrapText="1"/>
    </xf>
    <xf numFmtId="49" fontId="3" fillId="2" borderId="2" xfId="4" applyNumberFormat="1" applyFont="1" applyFill="1" applyBorder="1" applyAlignment="1">
      <alignment horizontal="center" wrapText="1"/>
    </xf>
    <xf numFmtId="0" fontId="3" fillId="2" borderId="3" xfId="4" applyFont="1" applyFill="1" applyBorder="1" applyAlignment="1">
      <alignment horizontal="centerContinuous" wrapText="1"/>
    </xf>
    <xf numFmtId="0" fontId="3" fillId="2" borderId="3" xfId="4" applyFont="1" applyFill="1" applyBorder="1" applyAlignment="1">
      <alignment horizontal="center" wrapText="1"/>
    </xf>
    <xf numFmtId="3" fontId="4" fillId="0" borderId="2" xfId="4" applyNumberFormat="1" applyFont="1" applyBorder="1" applyAlignment="1">
      <alignment wrapText="1"/>
    </xf>
    <xf numFmtId="0" fontId="4" fillId="0" borderId="2" xfId="2" applyNumberFormat="1" applyFont="1" applyFill="1" applyBorder="1" applyAlignment="1">
      <alignment horizontal="center" wrapText="1"/>
    </xf>
    <xf numFmtId="38" fontId="4" fillId="0" borderId="2" xfId="1" applyNumberFormat="1" applyFont="1" applyBorder="1" applyAlignment="1">
      <alignment wrapText="1"/>
    </xf>
    <xf numFmtId="38" fontId="4" fillId="0" borderId="4" xfId="1" applyNumberFormat="1" applyFont="1" applyBorder="1" applyAlignment="1">
      <alignment wrapText="1"/>
    </xf>
    <xf numFmtId="49" fontId="3" fillId="2" borderId="6" xfId="4" applyNumberFormat="1" applyFont="1" applyFill="1" applyBorder="1" applyAlignment="1">
      <alignment horizontal="center" wrapText="1"/>
    </xf>
    <xf numFmtId="0" fontId="3" fillId="2" borderId="6" xfId="4" applyFont="1" applyFill="1" applyBorder="1" applyAlignment="1">
      <alignment horizontal="centerContinuous" wrapText="1"/>
    </xf>
    <xf numFmtId="14" fontId="3" fillId="2" borderId="7" xfId="4" applyNumberFormat="1" applyFont="1" applyFill="1" applyBorder="1" applyAlignment="1">
      <alignment horizontal="center" vertical="top" wrapText="1"/>
    </xf>
    <xf numFmtId="0" fontId="4" fillId="0" borderId="0" xfId="4" applyFont="1" applyAlignment="1">
      <alignment vertical="top" wrapText="1"/>
    </xf>
    <xf numFmtId="0" fontId="3" fillId="2" borderId="2" xfId="4" applyFont="1" applyFill="1" applyBorder="1" applyAlignment="1">
      <alignment horizontal="center" vertical="top" wrapText="1"/>
    </xf>
    <xf numFmtId="0" fontId="3" fillId="2" borderId="8" xfId="4" applyFont="1" applyFill="1" applyBorder="1" applyAlignment="1">
      <alignment vertical="top" wrapText="1"/>
    </xf>
    <xf numFmtId="0" fontId="3" fillId="0" borderId="5" xfId="4" applyFont="1" applyFill="1" applyBorder="1" applyAlignment="1">
      <alignment vertical="top" wrapText="1"/>
    </xf>
    <xf numFmtId="0" fontId="3" fillId="0" borderId="0" xfId="4" applyFont="1" applyFill="1" applyBorder="1" applyAlignment="1">
      <alignment vertical="top" wrapText="1"/>
    </xf>
    <xf numFmtId="0" fontId="3" fillId="0" borderId="2" xfId="4" applyFont="1" applyFill="1" applyBorder="1" applyAlignment="1">
      <alignment horizontal="center" vertical="top" wrapText="1"/>
    </xf>
    <xf numFmtId="0" fontId="3" fillId="3" borderId="2" xfId="4" applyFont="1" applyFill="1" applyBorder="1" applyAlignment="1">
      <alignment horizontal="center" vertical="top" wrapText="1"/>
    </xf>
    <xf numFmtId="0" fontId="3" fillId="0" borderId="9" xfId="4" applyFont="1" applyFill="1" applyBorder="1" applyAlignment="1">
      <alignment horizontal="center" vertical="top" wrapText="1"/>
    </xf>
    <xf numFmtId="0" fontId="3" fillId="0" borderId="0" xfId="4" applyFont="1" applyFill="1" applyBorder="1" applyAlignment="1">
      <alignment horizontal="center" vertical="top" wrapText="1"/>
    </xf>
    <xf numFmtId="3" fontId="3" fillId="0" borderId="2" xfId="4" applyNumberFormat="1" applyFont="1" applyFill="1" applyBorder="1" applyAlignment="1">
      <alignment horizontal="center" vertical="top" wrapText="1"/>
    </xf>
    <xf numFmtId="38" fontId="3" fillId="0" borderId="2" xfId="4" applyNumberFormat="1" applyFont="1" applyFill="1" applyBorder="1" applyAlignment="1">
      <alignment horizontal="center" vertical="top" wrapText="1"/>
    </xf>
    <xf numFmtId="38" fontId="3" fillId="0" borderId="4" xfId="4" applyNumberFormat="1" applyFont="1" applyFill="1" applyBorder="1" applyAlignment="1">
      <alignment horizontal="center" vertical="top" wrapText="1"/>
    </xf>
    <xf numFmtId="0" fontId="3" fillId="2" borderId="0" xfId="4" applyFont="1" applyFill="1" applyBorder="1" applyAlignment="1">
      <alignment vertical="top" wrapText="1"/>
    </xf>
    <xf numFmtId="0" fontId="3" fillId="0" borderId="12" xfId="4" applyFont="1" applyBorder="1" applyAlignment="1">
      <alignment vertical="top" wrapText="1"/>
    </xf>
    <xf numFmtId="0" fontId="3" fillId="0" borderId="0" xfId="4" applyFont="1" applyBorder="1" applyAlignment="1">
      <alignment vertical="top" wrapText="1"/>
    </xf>
    <xf numFmtId="0" fontId="4" fillId="0" borderId="0" xfId="4" applyFont="1" applyBorder="1" applyAlignment="1">
      <alignment vertical="top" wrapText="1"/>
    </xf>
    <xf numFmtId="0" fontId="4" fillId="0" borderId="0" xfId="4" applyFont="1" applyBorder="1" applyAlignment="1">
      <alignment horizontal="center" vertical="top" wrapText="1"/>
    </xf>
    <xf numFmtId="38" fontId="4" fillId="0" borderId="0" xfId="4" applyNumberFormat="1" applyFont="1" applyBorder="1" applyAlignment="1">
      <alignment vertical="top" wrapText="1"/>
    </xf>
    <xf numFmtId="0" fontId="4" fillId="0" borderId="6" xfId="4" applyFont="1" applyBorder="1" applyAlignment="1">
      <alignment horizontal="center" vertical="top" wrapText="1"/>
    </xf>
    <xf numFmtId="0" fontId="3" fillId="0" borderId="14" xfId="4" applyFont="1" applyBorder="1" applyAlignment="1">
      <alignment vertical="top" wrapText="1"/>
    </xf>
    <xf numFmtId="0" fontId="4" fillId="0" borderId="0" xfId="4" applyFont="1" applyFill="1" applyBorder="1" applyAlignment="1">
      <alignment vertical="top" wrapText="1"/>
    </xf>
    <xf numFmtId="0" fontId="4" fillId="0" borderId="0" xfId="4" applyFont="1" applyFill="1" applyBorder="1" applyAlignment="1">
      <alignment horizontal="center" vertical="top" wrapText="1"/>
    </xf>
    <xf numFmtId="38" fontId="4" fillId="0" borderId="0" xfId="4" applyNumberFormat="1" applyFont="1" applyFill="1" applyBorder="1" applyAlignment="1">
      <alignment vertical="top" wrapText="1"/>
    </xf>
    <xf numFmtId="0" fontId="3" fillId="2" borderId="15" xfId="4" applyFont="1" applyFill="1" applyBorder="1" applyAlignment="1">
      <alignment vertical="top" wrapText="1"/>
    </xf>
    <xf numFmtId="0" fontId="4" fillId="0" borderId="0" xfId="4" applyFont="1" applyAlignment="1">
      <alignment horizontal="center" vertical="top" wrapText="1"/>
    </xf>
    <xf numFmtId="38" fontId="4" fillId="0" borderId="0" xfId="4" applyNumberFormat="1" applyFont="1" applyAlignment="1">
      <alignment vertical="top" wrapText="1"/>
    </xf>
    <xf numFmtId="2" fontId="4" fillId="0" borderId="2" xfId="4" applyNumberFormat="1" applyFont="1" applyBorder="1" applyAlignment="1">
      <alignment horizontal="center" wrapText="1"/>
    </xf>
    <xf numFmtId="0" fontId="3" fillId="2" borderId="11" xfId="4" applyFont="1" applyFill="1" applyBorder="1" applyAlignment="1">
      <alignment horizontal="centerContinuous" wrapText="1"/>
    </xf>
    <xf numFmtId="3" fontId="4" fillId="0" borderId="0" xfId="4" applyNumberFormat="1" applyFont="1" applyFill="1" applyBorder="1" applyAlignment="1">
      <alignment vertical="top" wrapText="1"/>
    </xf>
    <xf numFmtId="0" fontId="3" fillId="0" borderId="6" xfId="4" applyFont="1" applyFill="1" applyBorder="1" applyAlignment="1">
      <alignment horizontal="center" vertical="top" wrapText="1"/>
    </xf>
    <xf numFmtId="0" fontId="4" fillId="0" borderId="6" xfId="1" applyNumberFormat="1" applyFont="1" applyFill="1" applyBorder="1" applyAlignment="1">
      <alignment horizontal="center" wrapText="1"/>
    </xf>
    <xf numFmtId="0" fontId="3" fillId="2" borderId="0" xfId="4" applyFont="1" applyFill="1" applyBorder="1" applyAlignment="1">
      <alignment horizontal="centerContinuous" wrapText="1"/>
    </xf>
    <xf numFmtId="0" fontId="3" fillId="2" borderId="12" xfId="4" applyFont="1" applyFill="1" applyBorder="1" applyAlignment="1">
      <alignment horizontal="centerContinuous" wrapText="1"/>
    </xf>
    <xf numFmtId="0" fontId="3" fillId="0" borderId="5" xfId="4" applyFont="1" applyFill="1" applyBorder="1" applyAlignment="1">
      <alignment horizontal="center" vertical="top" wrapText="1"/>
    </xf>
    <xf numFmtId="0" fontId="3" fillId="0" borderId="0" xfId="4" applyFont="1" applyAlignment="1">
      <alignment vertical="top" wrapText="1"/>
    </xf>
    <xf numFmtId="0" fontId="7" fillId="4" borderId="22" xfId="4" applyFont="1" applyFill="1" applyBorder="1" applyAlignment="1">
      <alignment vertical="top" wrapText="1"/>
    </xf>
    <xf numFmtId="0" fontId="7" fillId="4" borderId="22" xfId="4" applyFont="1" applyFill="1" applyBorder="1" applyAlignment="1">
      <alignment horizontal="center" vertical="top" wrapText="1"/>
    </xf>
    <xf numFmtId="38" fontId="7" fillId="4" borderId="22" xfId="1" applyNumberFormat="1" applyFont="1" applyFill="1" applyBorder="1" applyAlignment="1">
      <alignment vertical="top" wrapText="1"/>
    </xf>
    <xf numFmtId="38" fontId="7" fillId="4" borderId="23" xfId="4" applyNumberFormat="1" applyFont="1" applyFill="1" applyBorder="1" applyAlignment="1">
      <alignment vertical="top" wrapText="1"/>
    </xf>
    <xf numFmtId="0" fontId="7" fillId="0" borderId="25" xfId="4" applyFont="1" applyFill="1" applyBorder="1" applyAlignment="1">
      <alignment vertical="top" wrapText="1"/>
    </xf>
    <xf numFmtId="0" fontId="7" fillId="0" borderId="25" xfId="4" applyFont="1" applyFill="1" applyBorder="1" applyAlignment="1">
      <alignment horizontal="center" vertical="top" wrapText="1"/>
    </xf>
    <xf numFmtId="38" fontId="7" fillId="0" borderId="25" xfId="1" applyNumberFormat="1" applyFont="1" applyFill="1" applyBorder="1" applyAlignment="1">
      <alignment vertical="top" wrapText="1"/>
    </xf>
    <xf numFmtId="38" fontId="7" fillId="0" borderId="26" xfId="4" applyNumberFormat="1" applyFont="1" applyFill="1" applyBorder="1" applyAlignment="1">
      <alignment vertical="top" wrapText="1"/>
    </xf>
    <xf numFmtId="0" fontId="7" fillId="0" borderId="27" xfId="4" applyFont="1" applyFill="1" applyBorder="1" applyAlignment="1">
      <alignment vertical="top" wrapText="1"/>
    </xf>
    <xf numFmtId="166" fontId="8" fillId="0" borderId="28" xfId="0" applyFont="1" applyFill="1" applyBorder="1" applyAlignment="1">
      <alignment vertical="top" wrapText="1"/>
    </xf>
    <xf numFmtId="0" fontId="7" fillId="0" borderId="28" xfId="4" applyFont="1" applyFill="1" applyBorder="1" applyAlignment="1">
      <alignment vertical="top" wrapText="1"/>
    </xf>
    <xf numFmtId="0" fontId="7" fillId="0" borderId="28" xfId="4" applyFont="1" applyFill="1" applyBorder="1" applyAlignment="1">
      <alignment horizontal="center" vertical="top" wrapText="1"/>
    </xf>
    <xf numFmtId="38" fontId="7" fillId="0" borderId="28" xfId="1" applyNumberFormat="1" applyFont="1" applyFill="1" applyBorder="1" applyAlignment="1">
      <alignment vertical="top" wrapText="1"/>
    </xf>
    <xf numFmtId="38" fontId="7" fillId="0" borderId="29" xfId="4" applyNumberFormat="1" applyFont="1" applyFill="1" applyBorder="1" applyAlignment="1">
      <alignment vertical="top" wrapText="1"/>
    </xf>
    <xf numFmtId="0" fontId="4" fillId="0" borderId="6" xfId="4" applyFont="1" applyBorder="1" applyAlignment="1">
      <alignment vertical="top" wrapText="1"/>
    </xf>
    <xf numFmtId="0" fontId="4" fillId="5" borderId="22" xfId="4" applyFont="1" applyFill="1" applyBorder="1" applyAlignment="1">
      <alignment vertical="top" wrapText="1"/>
    </xf>
    <xf numFmtId="0" fontId="4" fillId="5" borderId="22" xfId="4" applyFont="1" applyFill="1" applyBorder="1" applyAlignment="1">
      <alignment horizontal="center" vertical="top" wrapText="1"/>
    </xf>
    <xf numFmtId="38" fontId="4" fillId="5" borderId="22" xfId="1" applyNumberFormat="1" applyFont="1" applyFill="1" applyBorder="1" applyAlignment="1">
      <alignment vertical="top" wrapText="1"/>
    </xf>
    <xf numFmtId="38" fontId="4" fillId="5" borderId="22" xfId="4" applyNumberFormat="1" applyFont="1" applyFill="1" applyBorder="1" applyAlignment="1">
      <alignment vertical="top" wrapText="1"/>
    </xf>
    <xf numFmtId="0" fontId="3" fillId="0" borderId="12" xfId="4" applyFont="1" applyBorder="1" applyAlignment="1">
      <alignment horizontal="center" vertical="top" wrapText="1"/>
    </xf>
    <xf numFmtId="0" fontId="3" fillId="0" borderId="0" xfId="4" applyFont="1" applyBorder="1" applyAlignment="1">
      <alignment horizontal="center" vertical="top" wrapText="1"/>
    </xf>
    <xf numFmtId="38" fontId="3" fillId="0" borderId="9" xfId="1" applyNumberFormat="1" applyFont="1" applyBorder="1" applyAlignment="1">
      <alignment vertical="top" wrapText="1"/>
    </xf>
    <xf numFmtId="38" fontId="3" fillId="0" borderId="2" xfId="1" applyNumberFormat="1" applyFont="1" applyBorder="1" applyAlignment="1">
      <alignment vertical="top" wrapText="1"/>
    </xf>
    <xf numFmtId="38" fontId="3" fillId="0" borderId="33" xfId="4" applyNumberFormat="1" applyFont="1" applyBorder="1" applyAlignment="1">
      <alignment horizontal="right" vertical="top" wrapText="1"/>
    </xf>
    <xf numFmtId="0" fontId="7" fillId="0" borderId="0" xfId="4" applyFont="1" applyFill="1" applyBorder="1" applyAlignment="1">
      <alignment horizontal="right" vertical="top" wrapText="1"/>
    </xf>
    <xf numFmtId="3" fontId="7" fillId="0" borderId="0" xfId="4" applyNumberFormat="1" applyFont="1" applyFill="1" applyBorder="1" applyAlignment="1">
      <alignment horizontal="right" vertical="top" wrapText="1"/>
    </xf>
    <xf numFmtId="0" fontId="7" fillId="0" borderId="0" xfId="4" applyFont="1" applyBorder="1" applyAlignment="1">
      <alignment horizontal="right" vertical="top" wrapText="1"/>
    </xf>
    <xf numFmtId="0" fontId="4" fillId="0" borderId="5" xfId="4" applyFont="1" applyBorder="1" applyAlignment="1">
      <alignment wrapText="1"/>
    </xf>
    <xf numFmtId="3" fontId="4" fillId="0" borderId="2" xfId="4" applyNumberFormat="1" applyFont="1" applyFill="1" applyBorder="1" applyAlignment="1">
      <alignment wrapText="1"/>
    </xf>
    <xf numFmtId="167" fontId="4" fillId="0" borderId="9" xfId="5" applyNumberFormat="1" applyFont="1" applyBorder="1" applyAlignment="1">
      <alignment horizontal="center" wrapText="1"/>
    </xf>
    <xf numFmtId="0" fontId="3" fillId="2" borderId="13" xfId="4" applyFont="1" applyFill="1" applyBorder="1" applyAlignment="1">
      <alignment vertical="top" wrapText="1"/>
    </xf>
    <xf numFmtId="0" fontId="3" fillId="2" borderId="14" xfId="4" applyFont="1" applyFill="1" applyBorder="1" applyAlignment="1">
      <alignment vertical="top" wrapText="1"/>
    </xf>
    <xf numFmtId="168" fontId="3" fillId="2" borderId="3" xfId="4" applyNumberFormat="1" applyFont="1" applyFill="1" applyBorder="1" applyAlignment="1">
      <alignment horizontal="left" vertical="top" wrapText="1"/>
    </xf>
    <xf numFmtId="168" fontId="3" fillId="2" borderId="10" xfId="4" applyNumberFormat="1" applyFont="1" applyFill="1" applyBorder="1" applyAlignment="1">
      <alignment horizontal="left" vertical="top" wrapText="1"/>
    </xf>
    <xf numFmtId="0" fontId="3" fillId="2" borderId="36" xfId="4" applyFont="1" applyFill="1" applyBorder="1" applyAlignment="1">
      <alignment vertical="top" wrapText="1"/>
    </xf>
    <xf numFmtId="0" fontId="3" fillId="2" borderId="37" xfId="4" applyFont="1" applyFill="1" applyBorder="1" applyAlignment="1">
      <alignment horizontal="center" vertical="top" wrapText="1"/>
    </xf>
    <xf numFmtId="0" fontId="3" fillId="2" borderId="18" xfId="4" applyFont="1" applyFill="1" applyBorder="1" applyAlignment="1">
      <alignment horizontal="center" vertical="top" wrapText="1"/>
    </xf>
    <xf numFmtId="0" fontId="3" fillId="2" borderId="38" xfId="4" applyFont="1" applyFill="1" applyBorder="1" applyAlignment="1">
      <alignment horizontal="center" vertical="top" wrapText="1"/>
    </xf>
    <xf numFmtId="0" fontId="3" fillId="2" borderId="39" xfId="4" applyFont="1" applyFill="1" applyBorder="1" applyAlignment="1">
      <alignment horizontal="center" vertical="top" wrapText="1"/>
    </xf>
    <xf numFmtId="3" fontId="3" fillId="2" borderId="40" xfId="4" applyNumberFormat="1" applyFont="1" applyFill="1" applyBorder="1" applyAlignment="1">
      <alignment horizontal="center" vertical="top" wrapText="1"/>
    </xf>
    <xf numFmtId="38" fontId="3" fillId="2" borderId="40" xfId="4" applyNumberFormat="1" applyFont="1" applyFill="1" applyBorder="1" applyAlignment="1">
      <alignment horizontal="center" vertical="top" wrapText="1"/>
    </xf>
    <xf numFmtId="38" fontId="3" fillId="2" borderId="20" xfId="4" applyNumberFormat="1" applyFont="1" applyFill="1" applyBorder="1" applyAlignment="1">
      <alignment horizontal="center" vertical="top" wrapText="1"/>
    </xf>
    <xf numFmtId="38" fontId="7" fillId="0" borderId="26" xfId="4" applyNumberFormat="1" applyFont="1" applyBorder="1" applyAlignment="1">
      <alignment horizontal="right" vertical="top" wrapText="1"/>
    </xf>
    <xf numFmtId="38" fontId="7" fillId="0" borderId="29" xfId="4" applyNumberFormat="1" applyFont="1" applyBorder="1" applyAlignment="1">
      <alignment horizontal="right" vertical="top" wrapText="1"/>
    </xf>
    <xf numFmtId="38" fontId="7" fillId="0" borderId="23" xfId="4" applyNumberFormat="1" applyFont="1" applyBorder="1" applyAlignment="1">
      <alignment horizontal="right" vertical="top" wrapText="1"/>
    </xf>
    <xf numFmtId="0" fontId="9" fillId="0" borderId="24" xfId="4" applyFont="1" applyBorder="1" applyAlignment="1">
      <alignment horizontal="center" vertical="top" wrapText="1"/>
    </xf>
    <xf numFmtId="0" fontId="9" fillId="0" borderId="25" xfId="4" applyFont="1" applyBorder="1" applyAlignment="1">
      <alignment horizontal="center" vertical="top" wrapText="1"/>
    </xf>
    <xf numFmtId="0" fontId="9" fillId="0" borderId="25" xfId="4" applyFont="1" applyBorder="1" applyAlignment="1">
      <alignment vertical="top" wrapText="1"/>
    </xf>
    <xf numFmtId="38" fontId="9" fillId="0" borderId="25" xfId="4" applyNumberFormat="1" applyFont="1" applyBorder="1" applyAlignment="1">
      <alignment vertical="top" wrapText="1"/>
    </xf>
    <xf numFmtId="38" fontId="9" fillId="0" borderId="26" xfId="4" applyNumberFormat="1" applyFont="1" applyBorder="1" applyAlignment="1">
      <alignment vertical="top" wrapText="1"/>
    </xf>
    <xf numFmtId="0" fontId="9" fillId="0" borderId="34" xfId="4" applyFont="1" applyBorder="1" applyAlignment="1">
      <alignment horizontal="center" vertical="top" wrapText="1"/>
    </xf>
    <xf numFmtId="0" fontId="9" fillId="0" borderId="30" xfId="4" applyFont="1" applyBorder="1" applyAlignment="1">
      <alignment horizontal="center" vertical="top" wrapText="1"/>
    </xf>
    <xf numFmtId="0" fontId="9" fillId="0" borderId="30" xfId="4" applyFont="1" applyBorder="1" applyAlignment="1">
      <alignment vertical="top" wrapText="1"/>
    </xf>
    <xf numFmtId="38" fontId="9" fillId="0" borderId="30" xfId="4" applyNumberFormat="1" applyFont="1" applyBorder="1" applyAlignment="1">
      <alignment vertical="top" wrapText="1"/>
    </xf>
    <xf numFmtId="38" fontId="9" fillId="0" borderId="31" xfId="4" applyNumberFormat="1" applyFont="1" applyBorder="1" applyAlignment="1">
      <alignment vertical="top" wrapText="1"/>
    </xf>
    <xf numFmtId="38" fontId="3" fillId="0" borderId="0" xfId="4" applyNumberFormat="1" applyFont="1" applyAlignment="1">
      <alignment vertical="top" wrapText="1"/>
    </xf>
    <xf numFmtId="0" fontId="7" fillId="5" borderId="32" xfId="4" applyFont="1" applyFill="1" applyBorder="1" applyAlignment="1">
      <alignment vertical="top" wrapText="1"/>
    </xf>
    <xf numFmtId="0" fontId="7" fillId="5" borderId="22" xfId="4" applyFont="1" applyFill="1" applyBorder="1" applyAlignment="1">
      <alignment vertical="top" wrapText="1"/>
    </xf>
    <xf numFmtId="0" fontId="9" fillId="0" borderId="0" xfId="4" applyFont="1" applyFill="1" applyBorder="1" applyAlignment="1">
      <alignment vertical="top" wrapText="1"/>
    </xf>
    <xf numFmtId="3" fontId="9" fillId="0" borderId="0" xfId="4" applyNumberFormat="1" applyFont="1" applyFill="1" applyBorder="1" applyAlignment="1">
      <alignment vertical="top" wrapText="1"/>
    </xf>
    <xf numFmtId="0" fontId="9" fillId="0" borderId="0" xfId="4" applyFont="1" applyFill="1" applyBorder="1" applyAlignment="1">
      <alignment horizontal="center" vertical="top" wrapText="1"/>
    </xf>
    <xf numFmtId="0" fontId="9" fillId="0" borderId="0" xfId="4" applyFont="1" applyBorder="1" applyAlignment="1">
      <alignment horizontal="center" vertical="top" wrapText="1"/>
    </xf>
    <xf numFmtId="38" fontId="7" fillId="0" borderId="45" xfId="4" applyNumberFormat="1" applyFont="1" applyBorder="1" applyAlignment="1">
      <alignment vertical="top" wrapText="1"/>
    </xf>
    <xf numFmtId="38" fontId="7" fillId="0" borderId="46" xfId="4" applyNumberFormat="1" applyFont="1" applyBorder="1" applyAlignment="1">
      <alignment vertical="top" wrapText="1"/>
    </xf>
    <xf numFmtId="38" fontId="7" fillId="0" borderId="47" xfId="4" applyNumberFormat="1" applyFont="1" applyBorder="1" applyAlignment="1">
      <alignment vertical="top" wrapText="1"/>
    </xf>
    <xf numFmtId="38" fontId="3" fillId="0" borderId="48" xfId="4" applyNumberFormat="1" applyFont="1" applyBorder="1" applyAlignment="1">
      <alignment vertical="top" wrapText="1"/>
    </xf>
    <xf numFmtId="38" fontId="3" fillId="4" borderId="48" xfId="4" applyNumberFormat="1" applyFont="1" applyFill="1" applyBorder="1" applyAlignment="1">
      <alignment vertical="top" wrapText="1"/>
    </xf>
    <xf numFmtId="38" fontId="3" fillId="0" borderId="46" xfId="4" applyNumberFormat="1" applyFont="1" applyBorder="1" applyAlignment="1">
      <alignment vertical="top" wrapText="1"/>
    </xf>
    <xf numFmtId="38" fontId="3" fillId="0" borderId="47" xfId="4" applyNumberFormat="1" applyFont="1" applyBorder="1" applyAlignment="1">
      <alignment vertical="top" wrapText="1"/>
    </xf>
    <xf numFmtId="0" fontId="3" fillId="0" borderId="48" xfId="4" applyFont="1" applyBorder="1" applyAlignment="1">
      <alignment vertical="top" wrapText="1"/>
    </xf>
    <xf numFmtId="38" fontId="3" fillId="5" borderId="45" xfId="4" applyNumberFormat="1" applyFont="1" applyFill="1" applyBorder="1" applyAlignment="1">
      <alignment vertical="top" wrapText="1"/>
    </xf>
    <xf numFmtId="38" fontId="3" fillId="0" borderId="0" xfId="4" applyNumberFormat="1" applyFont="1" applyBorder="1" applyAlignment="1">
      <alignment vertical="top" wrapText="1"/>
    </xf>
    <xf numFmtId="0" fontId="3" fillId="0" borderId="17" xfId="4" applyFont="1" applyBorder="1" applyAlignment="1">
      <alignment horizontal="center" vertical="top" wrapText="1"/>
    </xf>
    <xf numFmtId="38" fontId="3" fillId="0" borderId="14" xfId="1" applyNumberFormat="1" applyFont="1" applyBorder="1" applyAlignment="1">
      <alignment vertical="top" wrapText="1"/>
    </xf>
    <xf numFmtId="38" fontId="3" fillId="0" borderId="19" xfId="1" applyNumberFormat="1" applyFont="1" applyBorder="1" applyAlignment="1">
      <alignment vertical="top" wrapText="1"/>
    </xf>
    <xf numFmtId="0" fontId="4" fillId="0" borderId="0" xfId="4" applyFont="1" applyFill="1" applyBorder="1" applyAlignment="1">
      <alignment wrapText="1"/>
    </xf>
    <xf numFmtId="9" fontId="4" fillId="0" borderId="9" xfId="4" applyNumberFormat="1" applyFont="1" applyFill="1" applyBorder="1" applyAlignment="1">
      <alignment horizontal="center" wrapText="1"/>
    </xf>
    <xf numFmtId="0" fontId="3" fillId="0" borderId="14" xfId="4" applyFont="1" applyBorder="1" applyAlignment="1">
      <alignment horizontal="center" vertical="top" wrapText="1"/>
    </xf>
    <xf numFmtId="0" fontId="3" fillId="0" borderId="13" xfId="4" applyFont="1" applyBorder="1" applyAlignment="1">
      <alignment vertical="top" wrapText="1"/>
    </xf>
    <xf numFmtId="166" fontId="15" fillId="0" borderId="0" xfId="0" applyFont="1"/>
    <xf numFmtId="0" fontId="3" fillId="0" borderId="14" xfId="2" applyNumberFormat="1" applyFont="1" applyFill="1" applyBorder="1" applyAlignment="1">
      <alignment horizontal="center" vertical="top" wrapText="1"/>
    </xf>
    <xf numFmtId="0" fontId="7" fillId="0" borderId="25" xfId="2" applyNumberFormat="1" applyFont="1" applyFill="1" applyBorder="1" applyAlignment="1">
      <alignment horizontal="center" vertical="top" wrapText="1"/>
    </xf>
    <xf numFmtId="0" fontId="7" fillId="0" borderId="28" xfId="2" applyNumberFormat="1" applyFont="1" applyFill="1" applyBorder="1" applyAlignment="1">
      <alignment horizontal="center" vertical="top" wrapText="1"/>
    </xf>
    <xf numFmtId="0" fontId="7" fillId="4" borderId="22" xfId="2" applyNumberFormat="1" applyFont="1" applyFill="1" applyBorder="1" applyAlignment="1">
      <alignment horizontal="center" vertical="top" wrapText="1"/>
    </xf>
    <xf numFmtId="0" fontId="4" fillId="5" borderId="22" xfId="2" applyNumberFormat="1" applyFont="1" applyFill="1" applyBorder="1" applyAlignment="1">
      <alignment horizontal="center" vertical="top" wrapText="1"/>
    </xf>
    <xf numFmtId="169" fontId="4" fillId="0" borderId="16" xfId="6" applyNumberFormat="1" applyFont="1" applyBorder="1" applyAlignment="1">
      <alignment wrapText="1"/>
    </xf>
    <xf numFmtId="0" fontId="4" fillId="0" borderId="12" xfId="4" applyFont="1" applyBorder="1" applyAlignment="1">
      <alignment wrapText="1"/>
    </xf>
    <xf numFmtId="169" fontId="4" fillId="0" borderId="0" xfId="6" applyNumberFormat="1" applyFont="1" applyBorder="1" applyAlignment="1">
      <alignment wrapText="1"/>
    </xf>
    <xf numFmtId="40" fontId="4" fillId="0" borderId="0" xfId="4" applyNumberFormat="1" applyFont="1" applyBorder="1" applyAlignment="1">
      <alignment vertical="top" wrapText="1"/>
    </xf>
    <xf numFmtId="0" fontId="4" fillId="0" borderId="0" xfId="4" applyFont="1" applyAlignment="1">
      <alignment wrapText="1"/>
    </xf>
    <xf numFmtId="0" fontId="7" fillId="0" borderId="0" xfId="4" applyFont="1" applyFill="1" applyAlignment="1">
      <alignment vertical="top" wrapText="1"/>
    </xf>
    <xf numFmtId="0" fontId="7" fillId="0" borderId="0" xfId="4" applyFont="1" applyAlignment="1">
      <alignment vertical="top" wrapText="1"/>
    </xf>
    <xf numFmtId="0" fontId="9" fillId="0" borderId="0" xfId="4" applyFont="1" applyBorder="1" applyAlignment="1">
      <alignment vertical="top" wrapText="1"/>
    </xf>
    <xf numFmtId="165" fontId="4" fillId="0" borderId="0" xfId="6" applyFont="1" applyBorder="1" applyAlignment="1">
      <alignment vertical="top" wrapText="1"/>
    </xf>
    <xf numFmtId="169" fontId="4" fillId="0" borderId="0" xfId="6" applyNumberFormat="1" applyFont="1" applyBorder="1" applyAlignment="1">
      <alignment horizontal="center" vertical="top" wrapText="1"/>
    </xf>
    <xf numFmtId="169" fontId="4" fillId="0" borderId="0" xfId="6" applyNumberFormat="1" applyFont="1" applyBorder="1" applyAlignment="1">
      <alignment vertical="top" wrapText="1"/>
    </xf>
    <xf numFmtId="0" fontId="3" fillId="2" borderId="36" xfId="4" applyFont="1" applyFill="1" applyBorder="1" applyAlignment="1">
      <alignment horizontal="center" vertical="top" wrapText="1"/>
    </xf>
    <xf numFmtId="168" fontId="3" fillId="2" borderId="3" xfId="4" applyNumberFormat="1" applyFont="1" applyFill="1" applyBorder="1" applyAlignment="1">
      <alignment horizontal="center" vertical="top" wrapText="1"/>
    </xf>
    <xf numFmtId="168" fontId="3" fillId="2" borderId="35" xfId="4" applyNumberFormat="1" applyFont="1" applyFill="1" applyBorder="1" applyAlignment="1">
      <alignment horizontal="center" vertical="top" wrapText="1"/>
    </xf>
    <xf numFmtId="9" fontId="4" fillId="0" borderId="5" xfId="5" applyFont="1" applyFill="1" applyBorder="1" applyAlignment="1">
      <alignment horizontal="center" wrapText="1"/>
    </xf>
    <xf numFmtId="0" fontId="3" fillId="0" borderId="13" xfId="4" applyFont="1" applyBorder="1" applyAlignment="1">
      <alignment horizontal="left" vertical="top" wrapText="1"/>
    </xf>
    <xf numFmtId="38" fontId="3" fillId="0" borderId="0" xfId="1" applyNumberFormat="1" applyFont="1" applyBorder="1" applyAlignment="1">
      <alignment vertical="top" wrapText="1"/>
    </xf>
    <xf numFmtId="165" fontId="4" fillId="0" borderId="0" xfId="6" applyFont="1" applyBorder="1" applyAlignment="1">
      <alignment horizontal="center" vertical="top" wrapText="1"/>
    </xf>
    <xf numFmtId="166" fontId="16" fillId="6" borderId="13" xfId="0" applyFont="1" applyFill="1" applyBorder="1" applyAlignment="1">
      <alignment horizontal="left" vertical="center"/>
    </xf>
    <xf numFmtId="0" fontId="4" fillId="6" borderId="14" xfId="4" applyFont="1" applyFill="1" applyBorder="1" applyAlignment="1">
      <alignment vertical="top" wrapText="1"/>
    </xf>
    <xf numFmtId="0" fontId="4" fillId="6" borderId="14" xfId="4" applyFont="1" applyFill="1" applyBorder="1" applyAlignment="1">
      <alignment horizontal="center" vertical="top" wrapText="1"/>
    </xf>
    <xf numFmtId="165" fontId="4" fillId="6" borderId="42" xfId="6" applyFont="1" applyFill="1" applyBorder="1" applyAlignment="1">
      <alignment horizontal="center" vertical="top" wrapText="1"/>
    </xf>
    <xf numFmtId="166" fontId="16" fillId="6" borderId="12" xfId="0" applyFont="1" applyFill="1" applyBorder="1"/>
    <xf numFmtId="0" fontId="4" fillId="6" borderId="0" xfId="4" applyFont="1" applyFill="1" applyBorder="1" applyAlignment="1">
      <alignment vertical="top" wrapText="1"/>
    </xf>
    <xf numFmtId="0" fontId="4" fillId="6" borderId="0" xfId="4" applyFont="1" applyFill="1" applyBorder="1" applyAlignment="1">
      <alignment horizontal="center" vertical="top" wrapText="1"/>
    </xf>
    <xf numFmtId="165" fontId="4" fillId="6" borderId="33" xfId="6" applyFont="1" applyFill="1" applyBorder="1" applyAlignment="1">
      <alignment horizontal="center" vertical="top" wrapText="1"/>
    </xf>
    <xf numFmtId="0" fontId="4" fillId="6" borderId="12" xfId="4" applyFont="1" applyFill="1" applyBorder="1" applyAlignment="1">
      <alignment vertical="top" wrapText="1"/>
    </xf>
    <xf numFmtId="165" fontId="4" fillId="6" borderId="55" xfId="6" applyFont="1" applyFill="1" applyBorder="1" applyAlignment="1">
      <alignment horizontal="center" vertical="top" wrapText="1"/>
    </xf>
    <xf numFmtId="0" fontId="4" fillId="6" borderId="15" xfId="4" applyFont="1" applyFill="1" applyBorder="1" applyAlignment="1">
      <alignment vertical="top" wrapText="1"/>
    </xf>
    <xf numFmtId="0" fontId="4" fillId="6" borderId="56" xfId="4" applyFont="1" applyFill="1" applyBorder="1" applyAlignment="1">
      <alignment vertical="top" wrapText="1"/>
    </xf>
    <xf numFmtId="0" fontId="4" fillId="6" borderId="56" xfId="4" applyFont="1" applyFill="1" applyBorder="1" applyAlignment="1">
      <alignment horizontal="center" vertical="top" wrapText="1"/>
    </xf>
    <xf numFmtId="165" fontId="4" fillId="6" borderId="51" xfId="6" applyFont="1" applyFill="1" applyBorder="1" applyAlignment="1">
      <alignment horizontal="center" vertical="top" wrapText="1"/>
    </xf>
    <xf numFmtId="0" fontId="3" fillId="0" borderId="0" xfId="2" applyNumberFormat="1" applyFont="1" applyFill="1" applyBorder="1" applyAlignment="1">
      <alignment horizontal="center" vertical="top" wrapText="1"/>
    </xf>
    <xf numFmtId="0" fontId="3" fillId="0" borderId="15" xfId="4" applyFont="1" applyBorder="1" applyAlignment="1">
      <alignment vertical="top" wrapText="1"/>
    </xf>
    <xf numFmtId="0" fontId="3" fillId="0" borderId="56" xfId="4" applyFont="1" applyBorder="1" applyAlignment="1">
      <alignment vertical="top" wrapText="1"/>
    </xf>
    <xf numFmtId="0" fontId="3" fillId="0" borderId="56" xfId="4" applyFont="1" applyBorder="1" applyAlignment="1">
      <alignment horizontal="center" vertical="top" wrapText="1"/>
    </xf>
    <xf numFmtId="0" fontId="3" fillId="0" borderId="56" xfId="2" applyNumberFormat="1" applyFont="1" applyFill="1" applyBorder="1" applyAlignment="1">
      <alignment horizontal="center" vertical="top" wrapText="1"/>
    </xf>
    <xf numFmtId="38" fontId="3" fillId="0" borderId="42" xfId="1" applyNumberFormat="1" applyFont="1" applyBorder="1" applyAlignment="1">
      <alignment vertical="top" wrapText="1"/>
    </xf>
    <xf numFmtId="0" fontId="3" fillId="0" borderId="12" xfId="4" applyFont="1" applyBorder="1" applyAlignment="1">
      <alignment horizontal="left" vertical="top" wrapText="1"/>
    </xf>
    <xf numFmtId="38" fontId="3" fillId="0" borderId="33" xfId="1" applyNumberFormat="1" applyFont="1" applyBorder="1" applyAlignment="1">
      <alignment vertical="top" wrapText="1"/>
    </xf>
    <xf numFmtId="0" fontId="3" fillId="0" borderId="15" xfId="4" applyFont="1" applyBorder="1" applyAlignment="1">
      <alignment horizontal="left" vertical="top" wrapText="1"/>
    </xf>
    <xf numFmtId="38" fontId="3" fillId="0" borderId="56" xfId="1" applyNumberFormat="1" applyFont="1" applyBorder="1" applyAlignment="1">
      <alignment vertical="top" wrapText="1"/>
    </xf>
    <xf numFmtId="38" fontId="3" fillId="0" borderId="51" xfId="1" applyNumberFormat="1" applyFont="1" applyBorder="1" applyAlignment="1">
      <alignment vertical="top" wrapText="1"/>
    </xf>
    <xf numFmtId="0" fontId="7" fillId="0" borderId="58" xfId="4" applyFont="1" applyFill="1" applyBorder="1" applyAlignment="1">
      <alignment vertical="top" wrapText="1"/>
    </xf>
    <xf numFmtId="0" fontId="7" fillId="0" borderId="58" xfId="4" applyFont="1" applyFill="1" applyBorder="1" applyAlignment="1">
      <alignment horizontal="center" vertical="top" wrapText="1"/>
    </xf>
    <xf numFmtId="0" fontId="7" fillId="0" borderId="58" xfId="2" applyNumberFormat="1" applyFont="1" applyFill="1" applyBorder="1" applyAlignment="1">
      <alignment horizontal="center" vertical="top" wrapText="1"/>
    </xf>
    <xf numFmtId="38" fontId="7" fillId="0" borderId="58" xfId="1" applyNumberFormat="1" applyFont="1" applyFill="1" applyBorder="1" applyAlignment="1">
      <alignment vertical="top" wrapText="1"/>
    </xf>
    <xf numFmtId="38" fontId="7" fillId="0" borderId="59" xfId="4" applyNumberFormat="1" applyFont="1" applyFill="1" applyBorder="1" applyAlignment="1">
      <alignment vertical="top" wrapText="1"/>
    </xf>
    <xf numFmtId="167" fontId="4" fillId="0" borderId="5" xfId="5" applyNumberFormat="1" applyFont="1" applyFill="1" applyBorder="1" applyAlignment="1">
      <alignment horizontal="center" wrapText="1"/>
    </xf>
    <xf numFmtId="0" fontId="3" fillId="2" borderId="41" xfId="4" applyFont="1" applyFill="1" applyBorder="1" applyAlignment="1">
      <alignment horizontal="center" vertical="top" wrapText="1"/>
    </xf>
    <xf numFmtId="0" fontId="3" fillId="2" borderId="36" xfId="4" applyFont="1" applyFill="1" applyBorder="1" applyAlignment="1">
      <alignment horizontal="center" vertical="top" wrapText="1"/>
    </xf>
    <xf numFmtId="0" fontId="3" fillId="2" borderId="17" xfId="4" applyFont="1" applyFill="1" applyBorder="1" applyAlignment="1">
      <alignment horizontal="center" wrapText="1"/>
    </xf>
    <xf numFmtId="0" fontId="3" fillId="2" borderId="14" xfId="4" applyFont="1" applyFill="1" applyBorder="1" applyAlignment="1">
      <alignment horizontal="center" wrapText="1"/>
    </xf>
    <xf numFmtId="0" fontId="3" fillId="2" borderId="42" xfId="4" applyFont="1" applyFill="1" applyBorder="1" applyAlignment="1">
      <alignment horizontal="center" wrapText="1"/>
    </xf>
    <xf numFmtId="0" fontId="3" fillId="2" borderId="21" xfId="4" applyFont="1" applyFill="1" applyBorder="1" applyAlignment="1">
      <alignment horizontal="center" wrapText="1"/>
    </xf>
    <xf numFmtId="0" fontId="3" fillId="2" borderId="13" xfId="4" applyFont="1" applyFill="1" applyBorder="1" applyAlignment="1">
      <alignment horizontal="center" wrapText="1"/>
    </xf>
    <xf numFmtId="0" fontId="3" fillId="0" borderId="34" xfId="4" applyFont="1" applyFill="1" applyBorder="1" applyAlignment="1">
      <alignment horizontal="left" vertical="top" wrapText="1"/>
    </xf>
    <xf numFmtId="0" fontId="3" fillId="0" borderId="30" xfId="4" applyFont="1" applyFill="1" applyBorder="1" applyAlignment="1">
      <alignment horizontal="left" vertical="top" wrapText="1"/>
    </xf>
    <xf numFmtId="0" fontId="3" fillId="0" borderId="24" xfId="4" applyFont="1" applyFill="1" applyBorder="1" applyAlignment="1">
      <alignment horizontal="left" vertical="top" wrapText="1"/>
    </xf>
    <xf numFmtId="0" fontId="3" fillId="0" borderId="25" xfId="4" applyFont="1" applyFill="1" applyBorder="1" applyAlignment="1">
      <alignment horizontal="left" vertical="top" wrapText="1"/>
    </xf>
    <xf numFmtId="0" fontId="7" fillId="4" borderId="32" xfId="4" applyFont="1" applyFill="1" applyBorder="1" applyAlignment="1">
      <alignment horizontal="center" vertical="top" wrapText="1"/>
    </xf>
    <xf numFmtId="0" fontId="7" fillId="4" borderId="22" xfId="4" applyFont="1" applyFill="1" applyBorder="1" applyAlignment="1">
      <alignment horizontal="center" vertical="top" wrapText="1"/>
    </xf>
    <xf numFmtId="0" fontId="7" fillId="0" borderId="32" xfId="4" applyFont="1" applyBorder="1" applyAlignment="1">
      <alignment horizontal="right" vertical="top" wrapText="1"/>
    </xf>
    <xf numFmtId="0" fontId="7" fillId="0" borderId="22" xfId="4" applyFont="1" applyBorder="1" applyAlignment="1">
      <alignment horizontal="right" vertical="top" wrapText="1"/>
    </xf>
    <xf numFmtId="0" fontId="7" fillId="0" borderId="52" xfId="4" applyFont="1" applyBorder="1" applyAlignment="1">
      <alignment horizontal="right" vertical="top" wrapText="1"/>
    </xf>
    <xf numFmtId="0" fontId="7" fillId="0" borderId="34" xfId="4" applyFont="1" applyBorder="1" applyAlignment="1">
      <alignment horizontal="right" vertical="top" wrapText="1"/>
    </xf>
    <xf numFmtId="0" fontId="7" fillId="0" borderId="30" xfId="4" applyFont="1" applyBorder="1" applyAlignment="1">
      <alignment horizontal="right" vertical="top" wrapText="1"/>
    </xf>
    <xf numFmtId="0" fontId="7" fillId="0" borderId="53" xfId="4" applyFont="1" applyBorder="1" applyAlignment="1">
      <alignment horizontal="right" vertical="top" wrapText="1"/>
    </xf>
    <xf numFmtId="0" fontId="7" fillId="0" borderId="24" xfId="4" applyFont="1" applyBorder="1" applyAlignment="1">
      <alignment horizontal="right" vertical="top" wrapText="1"/>
    </xf>
    <xf numFmtId="0" fontId="7" fillId="0" borderId="25" xfId="4" applyFont="1" applyBorder="1" applyAlignment="1">
      <alignment horizontal="right" vertical="top" wrapText="1"/>
    </xf>
    <xf numFmtId="0" fontId="7" fillId="0" borderId="54" xfId="4" applyFont="1" applyBorder="1" applyAlignment="1">
      <alignment horizontal="right" vertical="top" wrapText="1"/>
    </xf>
    <xf numFmtId="38" fontId="12" fillId="2" borderId="50" xfId="4" applyNumberFormat="1" applyFont="1" applyFill="1" applyBorder="1" applyAlignment="1">
      <alignment horizontal="center" vertical="center" wrapText="1"/>
    </xf>
    <xf numFmtId="166" fontId="13" fillId="0" borderId="48" xfId="0" applyFont="1" applyBorder="1" applyAlignment="1">
      <alignment vertical="center" wrapText="1"/>
    </xf>
    <xf numFmtId="166" fontId="13" fillId="0" borderId="49" xfId="0" applyFont="1" applyBorder="1" applyAlignment="1">
      <alignment vertical="center" wrapText="1"/>
    </xf>
    <xf numFmtId="166" fontId="8" fillId="0" borderId="22" xfId="0" applyFont="1" applyBorder="1" applyAlignment="1">
      <alignment horizontal="right" vertical="top" wrapText="1"/>
    </xf>
    <xf numFmtId="0" fontId="7" fillId="0" borderId="24" xfId="4" applyFont="1" applyFill="1" applyBorder="1" applyAlignment="1">
      <alignment vertical="top" wrapText="1"/>
    </xf>
    <xf numFmtId="166" fontId="8" fillId="0" borderId="25" xfId="0" applyFont="1" applyFill="1" applyBorder="1" applyAlignment="1">
      <alignment vertical="top" wrapText="1"/>
    </xf>
    <xf numFmtId="166" fontId="5" fillId="0" borderId="25" xfId="0" applyFont="1" applyBorder="1" applyAlignment="1">
      <alignment horizontal="left" vertical="top" wrapText="1"/>
    </xf>
    <xf numFmtId="166" fontId="10" fillId="0" borderId="30" xfId="0" applyFont="1" applyBorder="1" applyAlignment="1">
      <alignment horizontal="left" vertical="top" wrapText="1"/>
    </xf>
    <xf numFmtId="0" fontId="7" fillId="4" borderId="32" xfId="4" applyFont="1" applyFill="1" applyBorder="1" applyAlignment="1">
      <alignment vertical="top" wrapText="1"/>
    </xf>
    <xf numFmtId="166" fontId="11" fillId="0" borderId="22" xfId="0" applyFont="1" applyBorder="1" applyAlignment="1">
      <alignment vertical="top" wrapText="1"/>
    </xf>
    <xf numFmtId="166" fontId="5" fillId="0" borderId="22" xfId="0" applyFont="1" applyBorder="1" applyAlignment="1">
      <alignment horizontal="center" vertical="top" wrapText="1"/>
    </xf>
    <xf numFmtId="166" fontId="8" fillId="0" borderId="25" xfId="0" applyFont="1" applyBorder="1" applyAlignment="1">
      <alignment horizontal="right" vertical="top" wrapText="1"/>
    </xf>
    <xf numFmtId="0" fontId="7" fillId="0" borderId="27" xfId="4" applyFont="1" applyBorder="1" applyAlignment="1">
      <alignment horizontal="right" vertical="top" wrapText="1"/>
    </xf>
    <xf numFmtId="166" fontId="8" fillId="0" borderId="28" xfId="0" applyFont="1" applyBorder="1" applyAlignment="1">
      <alignment horizontal="right" vertical="top" wrapText="1"/>
    </xf>
    <xf numFmtId="0" fontId="3" fillId="2" borderId="43" xfId="4" applyFont="1" applyFill="1" applyBorder="1" applyAlignment="1">
      <alignment horizontal="center" vertical="top" wrapText="1"/>
    </xf>
    <xf numFmtId="166" fontId="5" fillId="0" borderId="44" xfId="0" applyFont="1" applyBorder="1" applyAlignment="1">
      <alignment horizontal="center" wrapText="1"/>
    </xf>
    <xf numFmtId="166" fontId="5" fillId="0" borderId="14" xfId="0" applyFont="1" applyBorder="1" applyAlignment="1">
      <alignment horizontal="center" wrapText="1"/>
    </xf>
    <xf numFmtId="166" fontId="5" fillId="0" borderId="42" xfId="0" applyFont="1" applyBorder="1" applyAlignment="1">
      <alignment horizontal="center" wrapText="1"/>
    </xf>
    <xf numFmtId="0" fontId="7" fillId="0" borderId="57" xfId="4" applyFont="1" applyFill="1" applyBorder="1" applyAlignment="1">
      <alignment vertical="top" wrapText="1"/>
    </xf>
    <xf numFmtId="166" fontId="8" fillId="0" borderId="58" xfId="0" applyFont="1" applyFill="1" applyBorder="1" applyAlignment="1">
      <alignment vertical="top" wrapText="1"/>
    </xf>
    <xf numFmtId="0" fontId="3" fillId="0" borderId="57" xfId="4" applyFont="1" applyFill="1" applyBorder="1" applyAlignment="1">
      <alignment horizontal="left" vertical="top" wrapText="1"/>
    </xf>
    <xf numFmtId="166" fontId="5" fillId="0" borderId="58" xfId="0" applyFont="1" applyBorder="1" applyAlignment="1">
      <alignment horizontal="left" vertical="top" wrapText="1"/>
    </xf>
  </cellXfs>
  <cellStyles count="13">
    <cellStyle name="Comma" xfId="6" builtinId="3"/>
    <cellStyle name="Comma_PPH5 5-year budget" xfId="1"/>
    <cellStyle name="Currency_PPH5 5-year budget" xfId="2"/>
    <cellStyle name="feuille" xfId="3"/>
    <cellStyle name="Followed Hyperlink" xfId="8" builtinId="9" hidden="1"/>
    <cellStyle name="Followed Hyperlink" xfId="10" builtinId="9" hidden="1"/>
    <cellStyle name="Followed Hyperlink" xfId="12" builtinId="9" hidden="1"/>
    <cellStyle name="Hyperlink" xfId="7" builtinId="8" hidden="1"/>
    <cellStyle name="Hyperlink" xfId="9" builtinId="8" hidden="1"/>
    <cellStyle name="Hyperlink" xfId="11" builtinId="8" hidden="1"/>
    <cellStyle name="Normal" xfId="0" builtinId="0"/>
    <cellStyle name="Normal_PPH5 5-year budget" xfId="4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AK297"/>
  <sheetViews>
    <sheetView workbookViewId="0">
      <selection activeCell="H25" sqref="H25"/>
    </sheetView>
  </sheetViews>
  <sheetFormatPr baseColWidth="10" defaultColWidth="8" defaultRowHeight="15" customHeight="1" x14ac:dyDescent="0"/>
  <cols>
    <col min="1" max="1" width="19.5" style="12" customWidth="1"/>
    <col min="2" max="2" width="15.1640625" style="12" customWidth="1"/>
    <col min="3" max="3" width="8.6640625" style="12" customWidth="1"/>
    <col min="4" max="4" width="8.6640625" style="27" customWidth="1"/>
    <col min="5" max="6" width="9.33203125" style="28" bestFit="1" customWidth="1"/>
    <col min="7" max="7" width="8.83203125" style="28" customWidth="1"/>
    <col min="8" max="8" width="22" style="36" customWidth="1"/>
    <col min="9" max="9" width="5.6640625" style="36" customWidth="1"/>
    <col min="10" max="11" width="6" style="12" customWidth="1"/>
    <col min="12" max="13" width="8.1640625" style="37" customWidth="1"/>
    <col min="14" max="14" width="9.5" style="37" customWidth="1"/>
    <col min="15" max="15" width="8.83203125" style="36" hidden="1" customWidth="1"/>
    <col min="16" max="16" width="5.6640625" style="36" hidden="1" customWidth="1"/>
    <col min="17" max="18" width="6" style="12" hidden="1" customWidth="1"/>
    <col min="19" max="19" width="8.1640625" style="37" hidden="1" customWidth="1"/>
    <col min="20" max="21" width="9.6640625" style="37" hidden="1" customWidth="1"/>
    <col min="22" max="22" width="9.83203125" style="36" hidden="1" customWidth="1"/>
    <col min="23" max="23" width="5.6640625" style="36" hidden="1" customWidth="1"/>
    <col min="24" max="25" width="6" style="12" hidden="1" customWidth="1"/>
    <col min="26" max="26" width="8.1640625" style="37" hidden="1" customWidth="1"/>
    <col min="27" max="28" width="9.6640625" style="37" hidden="1" customWidth="1"/>
    <col min="29" max="29" width="9.83203125" style="36" hidden="1" customWidth="1"/>
    <col min="30" max="30" width="5.6640625" style="36" hidden="1" customWidth="1"/>
    <col min="31" max="32" width="6" style="12" hidden="1" customWidth="1"/>
    <col min="33" max="33" width="8.1640625" style="37" hidden="1" customWidth="1"/>
    <col min="34" max="34" width="9.6640625" style="37" hidden="1" customWidth="1"/>
    <col min="35" max="35" width="9.5" style="37" hidden="1" customWidth="1"/>
    <col min="36" max="36" width="10.1640625" style="46" hidden="1" customWidth="1"/>
    <col min="37" max="37" width="8" style="12"/>
    <col min="38" max="38" width="10" style="12" bestFit="1" customWidth="1"/>
    <col min="39" max="16384" width="8" style="12"/>
  </cols>
  <sheetData>
    <row r="1" spans="1:36" ht="27" customHeight="1" thickBot="1">
      <c r="A1" s="126" t="s">
        <v>47</v>
      </c>
    </row>
    <row r="2" spans="1:36" ht="15" customHeight="1">
      <c r="A2" s="77" t="s">
        <v>48</v>
      </c>
      <c r="B2" s="78"/>
      <c r="C2" s="11" t="s">
        <v>4</v>
      </c>
      <c r="D2" s="217"/>
      <c r="E2" s="218"/>
      <c r="F2" s="218"/>
      <c r="G2" s="218"/>
      <c r="H2" s="187" t="s">
        <v>23</v>
      </c>
      <c r="I2" s="219"/>
      <c r="J2" s="219"/>
      <c r="K2" s="219"/>
      <c r="L2" s="219"/>
      <c r="M2" s="219"/>
      <c r="N2" s="220"/>
      <c r="O2" s="187" t="s">
        <v>24</v>
      </c>
      <c r="P2" s="184"/>
      <c r="Q2" s="184"/>
      <c r="R2" s="184"/>
      <c r="S2" s="184"/>
      <c r="T2" s="184"/>
      <c r="U2" s="186"/>
      <c r="V2" s="183" t="s">
        <v>25</v>
      </c>
      <c r="W2" s="184"/>
      <c r="X2" s="184"/>
      <c r="Y2" s="184"/>
      <c r="Z2" s="184"/>
      <c r="AA2" s="184"/>
      <c r="AB2" s="186"/>
      <c r="AC2" s="183" t="s">
        <v>26</v>
      </c>
      <c r="AD2" s="184"/>
      <c r="AE2" s="184"/>
      <c r="AF2" s="184"/>
      <c r="AG2" s="184"/>
      <c r="AH2" s="184"/>
      <c r="AI2" s="185"/>
      <c r="AJ2" s="203" t="s">
        <v>43</v>
      </c>
    </row>
    <row r="3" spans="1:36" ht="15" customHeight="1">
      <c r="A3" s="14" t="s">
        <v>45</v>
      </c>
      <c r="B3" s="24"/>
      <c r="C3" s="13" t="s">
        <v>7</v>
      </c>
      <c r="D3" s="13" t="s">
        <v>6</v>
      </c>
      <c r="E3" s="1" t="s">
        <v>40</v>
      </c>
      <c r="F3" s="2" t="s">
        <v>41</v>
      </c>
      <c r="G3" s="9"/>
      <c r="H3" s="44"/>
      <c r="I3" s="3"/>
      <c r="J3" s="3"/>
      <c r="K3" s="3"/>
      <c r="L3" s="144">
        <v>40755</v>
      </c>
      <c r="M3" s="4" t="s">
        <v>14</v>
      </c>
      <c r="N3" s="145">
        <v>41028</v>
      </c>
      <c r="O3" s="43"/>
      <c r="P3" s="3"/>
      <c r="Q3" s="3"/>
      <c r="R3" s="3"/>
      <c r="S3" s="79">
        <f>N3+1</f>
        <v>41029</v>
      </c>
      <c r="T3" s="4" t="s">
        <v>14</v>
      </c>
      <c r="U3" s="79">
        <f>S3+365</f>
        <v>41394</v>
      </c>
      <c r="V3" s="10"/>
      <c r="W3" s="3"/>
      <c r="X3" s="3"/>
      <c r="Y3" s="3"/>
      <c r="Z3" s="79">
        <f>U3+1</f>
        <v>41395</v>
      </c>
      <c r="AA3" s="4" t="s">
        <v>14</v>
      </c>
      <c r="AB3" s="79">
        <f>Z3+364</f>
        <v>41759</v>
      </c>
      <c r="AC3" s="39"/>
      <c r="AD3" s="3"/>
      <c r="AE3" s="3"/>
      <c r="AF3" s="3"/>
      <c r="AG3" s="79">
        <f>AB3+1</f>
        <v>41760</v>
      </c>
      <c r="AH3" s="4" t="s">
        <v>14</v>
      </c>
      <c r="AI3" s="80">
        <f>AG3+364</f>
        <v>42124</v>
      </c>
      <c r="AJ3" s="204"/>
    </row>
    <row r="4" spans="1:36" ht="34.5" customHeight="1" thickBot="1">
      <c r="A4" s="35" t="s">
        <v>18</v>
      </c>
      <c r="B4" s="81" t="s">
        <v>16</v>
      </c>
      <c r="C4" s="82" t="s">
        <v>1</v>
      </c>
      <c r="D4" s="82" t="s">
        <v>1</v>
      </c>
      <c r="E4" s="82" t="s">
        <v>8</v>
      </c>
      <c r="F4" s="82" t="s">
        <v>8</v>
      </c>
      <c r="G4" s="83" t="s">
        <v>11</v>
      </c>
      <c r="H4" s="84" t="s">
        <v>5</v>
      </c>
      <c r="I4" s="85" t="s">
        <v>13</v>
      </c>
      <c r="J4" s="181" t="s">
        <v>17</v>
      </c>
      <c r="K4" s="182"/>
      <c r="L4" s="86" t="s">
        <v>12</v>
      </c>
      <c r="M4" s="87" t="s">
        <v>2</v>
      </c>
      <c r="N4" s="88" t="s">
        <v>0</v>
      </c>
      <c r="O4" s="143" t="s">
        <v>5</v>
      </c>
      <c r="P4" s="85" t="s">
        <v>13</v>
      </c>
      <c r="Q4" s="181" t="s">
        <v>17</v>
      </c>
      <c r="R4" s="182"/>
      <c r="S4" s="86" t="s">
        <v>12</v>
      </c>
      <c r="T4" s="87" t="s">
        <v>2</v>
      </c>
      <c r="U4" s="88" t="s">
        <v>0</v>
      </c>
      <c r="V4" s="143" t="s">
        <v>5</v>
      </c>
      <c r="W4" s="85" t="s">
        <v>13</v>
      </c>
      <c r="X4" s="181" t="s">
        <v>17</v>
      </c>
      <c r="Y4" s="182"/>
      <c r="Z4" s="86" t="s">
        <v>12</v>
      </c>
      <c r="AA4" s="87" t="s">
        <v>2</v>
      </c>
      <c r="AB4" s="88" t="s">
        <v>0</v>
      </c>
      <c r="AC4" s="143" t="s">
        <v>5</v>
      </c>
      <c r="AD4" s="85" t="s">
        <v>13</v>
      </c>
      <c r="AE4" s="181" t="s">
        <v>17</v>
      </c>
      <c r="AF4" s="182"/>
      <c r="AG4" s="86" t="s">
        <v>12</v>
      </c>
      <c r="AH4" s="87" t="s">
        <v>2</v>
      </c>
      <c r="AI4" s="88" t="s">
        <v>0</v>
      </c>
      <c r="AJ4" s="205"/>
    </row>
    <row r="5" spans="1:36" ht="15" customHeight="1">
      <c r="A5" s="15"/>
      <c r="B5" s="16"/>
      <c r="C5" s="17"/>
      <c r="D5" s="18" t="s">
        <v>15</v>
      </c>
      <c r="E5" s="18">
        <v>10</v>
      </c>
      <c r="F5" s="18">
        <v>0</v>
      </c>
      <c r="G5" s="41"/>
      <c r="H5" s="45"/>
      <c r="I5" s="20"/>
      <c r="J5" s="17">
        <v>16</v>
      </c>
      <c r="K5" s="19">
        <f>J5+1</f>
        <v>17</v>
      </c>
      <c r="L5" s="21"/>
      <c r="M5" s="22"/>
      <c r="N5" s="23"/>
      <c r="O5" s="19"/>
      <c r="P5" s="20"/>
      <c r="Q5" s="17">
        <f>K5</f>
        <v>17</v>
      </c>
      <c r="R5" s="19">
        <f>Q5+1</f>
        <v>18</v>
      </c>
      <c r="S5" s="21"/>
      <c r="T5" s="22"/>
      <c r="U5" s="23"/>
      <c r="V5" s="19"/>
      <c r="W5" s="20"/>
      <c r="X5" s="17">
        <f>R5</f>
        <v>18</v>
      </c>
      <c r="Y5" s="19">
        <f>X5+1</f>
        <v>19</v>
      </c>
      <c r="Z5" s="21"/>
      <c r="AA5" s="22"/>
      <c r="AB5" s="23"/>
      <c r="AC5" s="19"/>
      <c r="AD5" s="20"/>
      <c r="AE5" s="17">
        <f>Y5</f>
        <v>19</v>
      </c>
      <c r="AF5" s="19">
        <f>AE5+1</f>
        <v>20</v>
      </c>
      <c r="AG5" s="21"/>
      <c r="AH5" s="22"/>
      <c r="AI5" s="23"/>
      <c r="AJ5" s="116"/>
    </row>
    <row r="6" spans="1:36" s="136" customFormat="1" ht="18" customHeight="1">
      <c r="A6" s="74" t="str">
        <f>+A21</f>
        <v>Radhika Khetani</v>
      </c>
      <c r="B6" s="122" t="s">
        <v>44</v>
      </c>
      <c r="C6" s="75"/>
      <c r="D6" s="5">
        <f>C6</f>
        <v>0</v>
      </c>
      <c r="E6" s="6">
        <f>+E5</f>
        <v>10</v>
      </c>
      <c r="F6" s="6">
        <f>+F5</f>
        <v>0</v>
      </c>
      <c r="G6" s="42" t="s">
        <v>10</v>
      </c>
      <c r="H6" s="180">
        <v>4.4999999999999998E-2</v>
      </c>
      <c r="I6" s="38">
        <f>+H6*12</f>
        <v>0.54</v>
      </c>
      <c r="J6" s="76">
        <v>0.249</v>
      </c>
      <c r="K6" s="76">
        <v>0.249</v>
      </c>
      <c r="L6" s="7">
        <f>((C21*$E$6/12)+(D21*$F$6/12))*H6</f>
        <v>4125</v>
      </c>
      <c r="M6" s="7">
        <f>+L6*J6+(L6/12*$F$6*K6)</f>
        <v>1027.125</v>
      </c>
      <c r="N6" s="8">
        <f>+M6+L6</f>
        <v>5152.125</v>
      </c>
      <c r="O6" s="123">
        <v>0</v>
      </c>
      <c r="P6" s="38">
        <f>+O6*12</f>
        <v>0</v>
      </c>
      <c r="Q6" s="76">
        <v>0.28000000000000003</v>
      </c>
      <c r="R6" s="76">
        <v>0.28000000000000003</v>
      </c>
      <c r="S6" s="7">
        <f>((D21*$E$6/12)+(E21*$F$6/12))*O6</f>
        <v>0</v>
      </c>
      <c r="T6" s="7">
        <f>+S6/12*$E6*Q6+(S6/12*$F6*R6)</f>
        <v>0</v>
      </c>
      <c r="U6" s="8">
        <f>+T6+S6</f>
        <v>0</v>
      </c>
      <c r="V6" s="123">
        <v>0</v>
      </c>
      <c r="W6" s="38">
        <f>+V6*12</f>
        <v>0</v>
      </c>
      <c r="X6" s="76">
        <v>0.28000000000000003</v>
      </c>
      <c r="Y6" s="76">
        <v>0.28000000000000003</v>
      </c>
      <c r="Z6" s="7">
        <f>((E21*$E$6/12)+(F21*$F$6/12))*V6</f>
        <v>0</v>
      </c>
      <c r="AA6" s="7">
        <f>+Z6/12*$E$6*X6+(Z6/12*$F$6*Y6)</f>
        <v>0</v>
      </c>
      <c r="AB6" s="8">
        <f>+AA6+Z6</f>
        <v>0</v>
      </c>
      <c r="AC6" s="123">
        <v>0</v>
      </c>
      <c r="AD6" s="38">
        <f>+AC6*12</f>
        <v>0</v>
      </c>
      <c r="AE6" s="76">
        <v>0.28000000000000003</v>
      </c>
      <c r="AF6" s="76">
        <v>0.28000000000000003</v>
      </c>
      <c r="AG6" s="7">
        <f>((F21*$E$6/12)+(G21*$F$6/12))*AC6</f>
        <v>0</v>
      </c>
      <c r="AH6" s="7">
        <f>+AG6/12*$E6*AE6+(AG6/12*$F6*AF6)</f>
        <v>0</v>
      </c>
      <c r="AI6" s="8">
        <f>+AH6+AG6</f>
        <v>0</v>
      </c>
      <c r="AJ6" s="112">
        <f>+AI6+AB6+U6+N6</f>
        <v>5152.125</v>
      </c>
    </row>
    <row r="7" spans="1:36" ht="15" customHeight="1" thickBot="1">
      <c r="A7" s="25" t="s">
        <v>9</v>
      </c>
      <c r="B7" s="26"/>
      <c r="C7" s="61"/>
      <c r="G7" s="30"/>
      <c r="H7" s="66"/>
      <c r="I7" s="67"/>
      <c r="J7" s="26"/>
      <c r="K7" s="26"/>
      <c r="L7" s="68">
        <f>SUM(L6:L6)</f>
        <v>4125</v>
      </c>
      <c r="M7" s="69">
        <f>SUM(M6:M6)</f>
        <v>1027.125</v>
      </c>
      <c r="N7" s="70">
        <f>SUM(N6:N6)</f>
        <v>5152.125</v>
      </c>
      <c r="O7" s="67"/>
      <c r="P7" s="67"/>
      <c r="Q7" s="26"/>
      <c r="R7" s="26"/>
      <c r="S7" s="68">
        <f>SUM(S6:S6)</f>
        <v>0</v>
      </c>
      <c r="T7" s="69">
        <f>SUM(T6:T6)</f>
        <v>0</v>
      </c>
      <c r="U7" s="70">
        <f>SUM(U6:U6)</f>
        <v>0</v>
      </c>
      <c r="V7" s="67"/>
      <c r="W7" s="67"/>
      <c r="X7" s="26"/>
      <c r="Y7" s="26"/>
      <c r="Z7" s="68">
        <f>SUM(Z6:Z6)</f>
        <v>0</v>
      </c>
      <c r="AA7" s="69">
        <f>SUM(AA6:AA6)</f>
        <v>0</v>
      </c>
      <c r="AB7" s="70">
        <f>SUM(AB6:AB6)</f>
        <v>0</v>
      </c>
      <c r="AC7" s="67"/>
      <c r="AD7" s="67"/>
      <c r="AE7" s="26"/>
      <c r="AF7" s="26"/>
      <c r="AG7" s="68">
        <f>SUM(AG6:AG6)</f>
        <v>0</v>
      </c>
      <c r="AH7" s="69">
        <f>SUM(AH6:AH6)</f>
        <v>0</v>
      </c>
      <c r="AI7" s="70">
        <f>SUM(AI6:AI6)</f>
        <v>0</v>
      </c>
      <c r="AJ7" s="112">
        <f>+AI7+AB7+U7+N7</f>
        <v>5152.125</v>
      </c>
    </row>
    <row r="8" spans="1:36" s="46" customFormat="1" ht="15" customHeight="1" thickBot="1">
      <c r="A8" s="125" t="s">
        <v>3</v>
      </c>
      <c r="B8" s="31"/>
      <c r="C8" s="31"/>
      <c r="D8" s="31"/>
      <c r="E8" s="124"/>
      <c r="F8" s="127"/>
      <c r="G8" s="119"/>
      <c r="H8" s="147" t="s">
        <v>50</v>
      </c>
      <c r="I8" s="124"/>
      <c r="J8" s="31"/>
      <c r="K8" s="31"/>
      <c r="L8" s="120"/>
      <c r="M8" s="120"/>
      <c r="N8" s="121">
        <f>0*125</f>
        <v>0</v>
      </c>
      <c r="O8" s="124"/>
      <c r="P8" s="124"/>
      <c r="Q8" s="31"/>
      <c r="R8" s="31"/>
      <c r="S8" s="120"/>
      <c r="T8" s="120"/>
      <c r="U8" s="121"/>
      <c r="V8" s="124"/>
      <c r="W8" s="124"/>
      <c r="X8" s="31"/>
      <c r="Y8" s="31"/>
      <c r="Z8" s="120"/>
      <c r="AA8" s="120"/>
      <c r="AB8" s="121"/>
      <c r="AC8" s="124"/>
      <c r="AD8" s="124"/>
      <c r="AE8" s="31"/>
      <c r="AF8" s="31"/>
      <c r="AG8" s="120"/>
      <c r="AH8" s="120"/>
      <c r="AI8" s="121"/>
      <c r="AJ8" s="112"/>
    </row>
    <row r="9" spans="1:36" s="137" customFormat="1" ht="15" customHeight="1">
      <c r="A9" s="207" t="s">
        <v>46</v>
      </c>
      <c r="B9" s="208"/>
      <c r="C9" s="51"/>
      <c r="D9" s="51"/>
      <c r="E9" s="52"/>
      <c r="F9" s="128"/>
      <c r="G9" s="52"/>
      <c r="H9" s="190" t="s">
        <v>32</v>
      </c>
      <c r="I9" s="209"/>
      <c r="J9" s="51"/>
      <c r="K9" s="51"/>
      <c r="L9" s="53"/>
      <c r="M9" s="53"/>
      <c r="N9" s="54">
        <f>SUM(N7:N8)</f>
        <v>5152.125</v>
      </c>
      <c r="O9" s="190" t="s">
        <v>32</v>
      </c>
      <c r="P9" s="191"/>
      <c r="Q9" s="51"/>
      <c r="R9" s="51"/>
      <c r="S9" s="53"/>
      <c r="T9" s="53"/>
      <c r="U9" s="54">
        <f>SUM(U7:U8)</f>
        <v>0</v>
      </c>
      <c r="V9" s="190" t="s">
        <v>32</v>
      </c>
      <c r="W9" s="191"/>
      <c r="X9" s="51"/>
      <c r="Y9" s="51"/>
      <c r="Z9" s="53"/>
      <c r="AA9" s="53"/>
      <c r="AB9" s="54">
        <f>SUM(AB7:AB8)</f>
        <v>0</v>
      </c>
      <c r="AC9" s="190" t="s">
        <v>32</v>
      </c>
      <c r="AD9" s="191"/>
      <c r="AE9" s="51"/>
      <c r="AF9" s="51"/>
      <c r="AG9" s="53"/>
      <c r="AH9" s="53"/>
      <c r="AI9" s="54">
        <f>SUM(AI7:AI8)</f>
        <v>0</v>
      </c>
      <c r="AJ9" s="114">
        <f>+AI9+AB9+U9+N9</f>
        <v>5152.125</v>
      </c>
    </row>
    <row r="10" spans="1:36" s="137" customFormat="1" ht="15" customHeight="1" thickBot="1">
      <c r="A10" s="55"/>
      <c r="B10" s="56"/>
      <c r="C10" s="57"/>
      <c r="D10" s="57"/>
      <c r="E10" s="58"/>
      <c r="F10" s="129"/>
      <c r="G10" s="58"/>
      <c r="H10" s="188" t="s">
        <v>33</v>
      </c>
      <c r="I10" s="210"/>
      <c r="J10" s="57"/>
      <c r="K10" s="57"/>
      <c r="L10" s="59"/>
      <c r="M10" s="59"/>
      <c r="N10" s="60">
        <f>N9*0</f>
        <v>0</v>
      </c>
      <c r="O10" s="188" t="s">
        <v>33</v>
      </c>
      <c r="P10" s="189"/>
      <c r="Q10" s="57"/>
      <c r="R10" s="57"/>
      <c r="S10" s="59"/>
      <c r="T10" s="59"/>
      <c r="U10" s="60">
        <f>U9*0.615</f>
        <v>0</v>
      </c>
      <c r="V10" s="188" t="s">
        <v>33</v>
      </c>
      <c r="W10" s="189"/>
      <c r="X10" s="57"/>
      <c r="Y10" s="57"/>
      <c r="Z10" s="59"/>
      <c r="AA10" s="59"/>
      <c r="AB10" s="60">
        <f>AB9*0.615</f>
        <v>0</v>
      </c>
      <c r="AC10" s="188" t="s">
        <v>33</v>
      </c>
      <c r="AD10" s="189"/>
      <c r="AE10" s="57"/>
      <c r="AF10" s="57"/>
      <c r="AG10" s="59"/>
      <c r="AH10" s="59"/>
      <c r="AI10" s="60">
        <f>AI9*0.615</f>
        <v>0</v>
      </c>
      <c r="AJ10" s="115">
        <f>+AI10+AB10+U10+N10</f>
        <v>0</v>
      </c>
    </row>
    <row r="11" spans="1:36" s="138" customFormat="1" ht="15" customHeight="1" thickBot="1">
      <c r="A11" s="211" t="s">
        <v>31</v>
      </c>
      <c r="B11" s="212"/>
      <c r="C11" s="47"/>
      <c r="D11" s="47"/>
      <c r="E11" s="48"/>
      <c r="F11" s="130"/>
      <c r="G11" s="48"/>
      <c r="H11" s="192" t="s">
        <v>27</v>
      </c>
      <c r="I11" s="213"/>
      <c r="J11" s="47"/>
      <c r="K11" s="47"/>
      <c r="L11" s="49"/>
      <c r="M11" s="49"/>
      <c r="N11" s="50">
        <f>N10+N9</f>
        <v>5152.125</v>
      </c>
      <c r="O11" s="192" t="s">
        <v>28</v>
      </c>
      <c r="P11" s="193"/>
      <c r="Q11" s="47"/>
      <c r="R11" s="47"/>
      <c r="S11" s="49"/>
      <c r="T11" s="49"/>
      <c r="U11" s="50">
        <f>U10+U9</f>
        <v>0</v>
      </c>
      <c r="V11" s="192" t="s">
        <v>29</v>
      </c>
      <c r="W11" s="193"/>
      <c r="X11" s="47"/>
      <c r="Y11" s="47"/>
      <c r="Z11" s="49"/>
      <c r="AA11" s="49"/>
      <c r="AB11" s="50">
        <f>AB10+AB9</f>
        <v>0</v>
      </c>
      <c r="AC11" s="192" t="s">
        <v>30</v>
      </c>
      <c r="AD11" s="193"/>
      <c r="AE11" s="47"/>
      <c r="AF11" s="47"/>
      <c r="AG11" s="49"/>
      <c r="AH11" s="49"/>
      <c r="AI11" s="50">
        <f>AI10+AI9</f>
        <v>0</v>
      </c>
      <c r="AJ11" s="113">
        <f>+AI11+AB11+U11+N11</f>
        <v>5152.125</v>
      </c>
    </row>
    <row r="12" spans="1:36" ht="15" customHeight="1" thickBot="1">
      <c r="A12" s="103"/>
      <c r="B12" s="104"/>
      <c r="C12" s="62"/>
      <c r="D12" s="62"/>
      <c r="E12" s="63"/>
      <c r="F12" s="131"/>
      <c r="G12" s="63"/>
      <c r="H12" s="63"/>
      <c r="I12" s="63"/>
      <c r="J12" s="62"/>
      <c r="K12" s="62"/>
      <c r="L12" s="64"/>
      <c r="M12" s="64"/>
      <c r="N12" s="65"/>
      <c r="O12" s="63"/>
      <c r="P12" s="63"/>
      <c r="Q12" s="62"/>
      <c r="R12" s="62"/>
      <c r="S12" s="64"/>
      <c r="T12" s="64"/>
      <c r="U12" s="65"/>
      <c r="V12" s="63"/>
      <c r="W12" s="63"/>
      <c r="X12" s="62"/>
      <c r="Y12" s="62"/>
      <c r="Z12" s="64"/>
      <c r="AA12" s="64"/>
      <c r="AB12" s="65"/>
      <c r="AC12" s="63"/>
      <c r="AD12" s="63"/>
      <c r="AE12" s="62"/>
      <c r="AF12" s="62"/>
      <c r="AG12" s="64"/>
      <c r="AH12" s="64"/>
      <c r="AI12" s="65"/>
      <c r="AJ12" s="117"/>
    </row>
    <row r="13" spans="1:36" s="27" customFormat="1" ht="15" customHeight="1" thickBot="1">
      <c r="A13" s="32"/>
      <c r="B13" s="40"/>
      <c r="C13" s="40"/>
      <c r="D13" s="40"/>
      <c r="E13" s="33"/>
      <c r="F13" s="28"/>
      <c r="G13" s="28"/>
      <c r="H13" s="28"/>
      <c r="I13" s="28"/>
      <c r="L13" s="29"/>
      <c r="M13" s="29"/>
      <c r="N13" s="29"/>
      <c r="O13" s="28"/>
      <c r="P13" s="28"/>
      <c r="S13" s="29"/>
      <c r="T13" s="29"/>
      <c r="U13" s="29"/>
      <c r="V13" s="28"/>
      <c r="W13" s="28"/>
      <c r="Z13" s="29"/>
      <c r="AA13" s="29"/>
      <c r="AB13" s="29"/>
      <c r="AC13" s="28"/>
      <c r="AD13" s="28"/>
      <c r="AG13" s="29"/>
      <c r="AH13" s="29"/>
      <c r="AI13" s="29"/>
      <c r="AJ13" s="102"/>
    </row>
    <row r="14" spans="1:36" s="73" customFormat="1" ht="15" customHeight="1">
      <c r="A14" s="71"/>
      <c r="B14" s="72"/>
      <c r="C14" s="72"/>
      <c r="D14" s="72"/>
      <c r="E14" s="71"/>
      <c r="H14" s="200" t="s">
        <v>34</v>
      </c>
      <c r="I14" s="214"/>
      <c r="J14" s="214"/>
      <c r="K14" s="214"/>
      <c r="L14" s="214"/>
      <c r="M14" s="214"/>
      <c r="N14" s="89">
        <f>N9</f>
        <v>5152.125</v>
      </c>
      <c r="O14" s="200" t="s">
        <v>34</v>
      </c>
      <c r="P14" s="201"/>
      <c r="Q14" s="201"/>
      <c r="R14" s="201"/>
      <c r="S14" s="201"/>
      <c r="T14" s="202"/>
      <c r="U14" s="89">
        <f>U9</f>
        <v>0</v>
      </c>
      <c r="V14" s="200" t="s">
        <v>34</v>
      </c>
      <c r="W14" s="201"/>
      <c r="X14" s="201"/>
      <c r="Y14" s="201"/>
      <c r="Z14" s="201"/>
      <c r="AA14" s="202"/>
      <c r="AB14" s="89">
        <f>AB9</f>
        <v>0</v>
      </c>
      <c r="AC14" s="200" t="s">
        <v>34</v>
      </c>
      <c r="AD14" s="201"/>
      <c r="AE14" s="201"/>
      <c r="AF14" s="201"/>
      <c r="AG14" s="201"/>
      <c r="AH14" s="202"/>
      <c r="AI14" s="89">
        <f>AI9</f>
        <v>0</v>
      </c>
      <c r="AJ14" s="110">
        <f>AJ9</f>
        <v>5152.125</v>
      </c>
    </row>
    <row r="15" spans="1:36" s="73" customFormat="1" ht="15" customHeight="1" thickBot="1">
      <c r="A15" s="71"/>
      <c r="B15" s="72"/>
      <c r="C15" s="72"/>
      <c r="D15" s="72"/>
      <c r="E15" s="71"/>
      <c r="H15" s="215" t="s">
        <v>35</v>
      </c>
      <c r="I15" s="216"/>
      <c r="J15" s="216"/>
      <c r="K15" s="216"/>
      <c r="L15" s="216"/>
      <c r="M15" s="216"/>
      <c r="N15" s="90">
        <f>N10</f>
        <v>0</v>
      </c>
      <c r="O15" s="197" t="s">
        <v>35</v>
      </c>
      <c r="P15" s="198"/>
      <c r="Q15" s="198"/>
      <c r="R15" s="198"/>
      <c r="S15" s="198"/>
      <c r="T15" s="199"/>
      <c r="U15" s="90">
        <f>U10</f>
        <v>0</v>
      </c>
      <c r="V15" s="197" t="s">
        <v>35</v>
      </c>
      <c r="W15" s="198"/>
      <c r="X15" s="198"/>
      <c r="Y15" s="198"/>
      <c r="Z15" s="198"/>
      <c r="AA15" s="199"/>
      <c r="AB15" s="90">
        <f>AB10</f>
        <v>0</v>
      </c>
      <c r="AC15" s="197" t="s">
        <v>35</v>
      </c>
      <c r="AD15" s="198"/>
      <c r="AE15" s="198"/>
      <c r="AF15" s="198"/>
      <c r="AG15" s="198"/>
      <c r="AH15" s="199"/>
      <c r="AI15" s="90">
        <f>AI10</f>
        <v>0</v>
      </c>
      <c r="AJ15" s="111">
        <f>AJ10</f>
        <v>0</v>
      </c>
    </row>
    <row r="16" spans="1:36" s="73" customFormat="1" ht="15" customHeight="1" thickBot="1">
      <c r="A16" s="71"/>
      <c r="B16" s="72"/>
      <c r="C16" s="72"/>
      <c r="D16" s="72"/>
      <c r="E16" s="71"/>
      <c r="H16" s="194" t="s">
        <v>36</v>
      </c>
      <c r="I16" s="206"/>
      <c r="J16" s="206"/>
      <c r="K16" s="206"/>
      <c r="L16" s="206"/>
      <c r="M16" s="206"/>
      <c r="N16" s="91">
        <f>N14+N15</f>
        <v>5152.125</v>
      </c>
      <c r="O16" s="194" t="s">
        <v>37</v>
      </c>
      <c r="P16" s="195"/>
      <c r="Q16" s="195"/>
      <c r="R16" s="195"/>
      <c r="S16" s="195"/>
      <c r="T16" s="196"/>
      <c r="U16" s="91">
        <f>U14+U15</f>
        <v>0</v>
      </c>
      <c r="V16" s="194" t="s">
        <v>38</v>
      </c>
      <c r="W16" s="195"/>
      <c r="X16" s="195"/>
      <c r="Y16" s="195"/>
      <c r="Z16" s="195"/>
      <c r="AA16" s="196"/>
      <c r="AB16" s="91">
        <f>AB14+AB15</f>
        <v>0</v>
      </c>
      <c r="AC16" s="194" t="s">
        <v>39</v>
      </c>
      <c r="AD16" s="195"/>
      <c r="AE16" s="195"/>
      <c r="AF16" s="195"/>
      <c r="AG16" s="195"/>
      <c r="AH16" s="196"/>
      <c r="AI16" s="91">
        <f>AI14+AI15</f>
        <v>0</v>
      </c>
      <c r="AJ16" s="109">
        <f>AJ14+AJ15</f>
        <v>5152.125</v>
      </c>
    </row>
    <row r="17" spans="1:37" s="139" customFormat="1" ht="15" customHeight="1">
      <c r="A17" s="105"/>
      <c r="B17" s="106"/>
      <c r="C17" s="106"/>
      <c r="D17" s="106"/>
      <c r="E17" s="107"/>
      <c r="F17" s="108"/>
      <c r="G17" s="108"/>
      <c r="H17" s="92"/>
      <c r="I17" s="93"/>
      <c r="J17" s="94"/>
      <c r="K17" s="94"/>
      <c r="L17" s="95"/>
      <c r="M17" s="95" t="s">
        <v>42</v>
      </c>
      <c r="N17" s="96">
        <v>0</v>
      </c>
      <c r="O17" s="92"/>
      <c r="P17" s="93"/>
      <c r="Q17" s="94"/>
      <c r="R17" s="94"/>
      <c r="S17" s="95"/>
      <c r="T17" s="95" t="s">
        <v>42</v>
      </c>
      <c r="U17" s="96">
        <v>0</v>
      </c>
      <c r="V17" s="92"/>
      <c r="W17" s="93"/>
      <c r="X17" s="94"/>
      <c r="Y17" s="94"/>
      <c r="Z17" s="95"/>
      <c r="AA17" s="95" t="s">
        <v>42</v>
      </c>
      <c r="AB17" s="96">
        <v>0</v>
      </c>
      <c r="AC17" s="92"/>
      <c r="AD17" s="93"/>
      <c r="AE17" s="94"/>
      <c r="AF17" s="94"/>
      <c r="AG17" s="95"/>
      <c r="AH17" s="95" t="s">
        <v>42</v>
      </c>
      <c r="AI17" s="96">
        <v>0</v>
      </c>
      <c r="AJ17" s="110">
        <f>+AI17+AB17+U17+N17</f>
        <v>0</v>
      </c>
    </row>
    <row r="18" spans="1:37" s="139" customFormat="1" ht="15" customHeight="1" thickBot="1">
      <c r="A18" s="105"/>
      <c r="B18" s="106"/>
      <c r="C18" s="106"/>
      <c r="D18" s="106"/>
      <c r="E18" s="107"/>
      <c r="F18" s="108"/>
      <c r="G18" s="108"/>
      <c r="H18" s="97"/>
      <c r="I18" s="98"/>
      <c r="J18" s="99"/>
      <c r="K18" s="99"/>
      <c r="L18" s="100"/>
      <c r="M18" s="100" t="s">
        <v>19</v>
      </c>
      <c r="N18" s="101">
        <f>N17-N16</f>
        <v>-5152.125</v>
      </c>
      <c r="O18" s="97"/>
      <c r="P18" s="98"/>
      <c r="Q18" s="99"/>
      <c r="R18" s="99"/>
      <c r="S18" s="100"/>
      <c r="T18" s="100" t="s">
        <v>19</v>
      </c>
      <c r="U18" s="101">
        <f>U17-U16</f>
        <v>0</v>
      </c>
      <c r="V18" s="97"/>
      <c r="W18" s="98"/>
      <c r="X18" s="99"/>
      <c r="Y18" s="99"/>
      <c r="Z18" s="100"/>
      <c r="AA18" s="100" t="s">
        <v>19</v>
      </c>
      <c r="AB18" s="101">
        <f>AB17-AB16</f>
        <v>0</v>
      </c>
      <c r="AC18" s="97"/>
      <c r="AD18" s="98"/>
      <c r="AE18" s="99"/>
      <c r="AF18" s="99"/>
      <c r="AG18" s="100"/>
      <c r="AH18" s="100" t="s">
        <v>19</v>
      </c>
      <c r="AI18" s="101">
        <f>AI17-AI16</f>
        <v>0</v>
      </c>
      <c r="AJ18" s="111">
        <f>+AI18+AB18+U18+N18</f>
        <v>-5152.125</v>
      </c>
    </row>
    <row r="19" spans="1:37" s="27" customFormat="1" ht="15" customHeight="1">
      <c r="A19" s="32"/>
      <c r="B19" s="34"/>
      <c r="C19" s="34"/>
      <c r="D19" s="34"/>
      <c r="E19" s="33"/>
      <c r="F19" s="28"/>
      <c r="G19" s="28"/>
      <c r="H19" s="28"/>
      <c r="I19" s="28"/>
      <c r="L19" s="29"/>
      <c r="M19" s="29"/>
      <c r="N19" s="29"/>
      <c r="O19" s="28"/>
      <c r="P19" s="28"/>
      <c r="S19" s="29"/>
      <c r="T19" s="29"/>
      <c r="U19" s="29"/>
      <c r="V19" s="28"/>
      <c r="W19" s="28"/>
      <c r="Z19" s="29"/>
      <c r="AA19" s="29"/>
      <c r="AB19" s="29"/>
      <c r="AC19" s="28"/>
      <c r="AD19" s="28"/>
      <c r="AG19" s="29"/>
      <c r="AH19" s="29"/>
      <c r="AI19" s="29"/>
      <c r="AJ19" s="118"/>
    </row>
    <row r="20" spans="1:37" s="27" customFormat="1" ht="15" customHeight="1">
      <c r="C20" s="28" t="s">
        <v>20</v>
      </c>
      <c r="D20" s="28" t="s">
        <v>21</v>
      </c>
      <c r="E20" s="28" t="s">
        <v>22</v>
      </c>
      <c r="F20" s="28"/>
      <c r="G20" s="28"/>
      <c r="H20" s="28"/>
      <c r="K20" s="29"/>
      <c r="L20" s="29"/>
      <c r="M20" s="29"/>
      <c r="N20" s="141"/>
      <c r="O20" s="28"/>
      <c r="R20" s="29"/>
      <c r="S20" s="29"/>
      <c r="T20" s="29"/>
      <c r="U20" s="28"/>
      <c r="V20" s="28"/>
      <c r="Y20" s="29"/>
      <c r="Z20" s="29"/>
      <c r="AA20" s="29"/>
      <c r="AB20" s="28"/>
      <c r="AC20" s="28"/>
      <c r="AF20" s="29"/>
      <c r="AG20" s="29"/>
      <c r="AH20" s="29"/>
      <c r="AI20" s="28"/>
      <c r="AJ20" s="26"/>
    </row>
    <row r="21" spans="1:37" s="27" customFormat="1" ht="15" customHeight="1">
      <c r="A21" s="133" t="s">
        <v>49</v>
      </c>
      <c r="B21" s="134"/>
      <c r="C21" s="132">
        <v>110000</v>
      </c>
      <c r="D21" s="132">
        <f>+C21*1.03</f>
        <v>113300</v>
      </c>
      <c r="E21" s="132">
        <f>+D21*1.03</f>
        <v>116699</v>
      </c>
      <c r="F21" s="134"/>
      <c r="G21" s="134"/>
      <c r="H21" s="134"/>
      <c r="I21" s="28"/>
      <c r="L21" s="135"/>
      <c r="M21" s="29"/>
      <c r="N21" s="142"/>
      <c r="O21" s="28"/>
      <c r="P21" s="28"/>
      <c r="S21" s="29"/>
      <c r="T21" s="29"/>
      <c r="U21" s="29"/>
      <c r="V21" s="28"/>
      <c r="W21" s="28"/>
      <c r="Z21" s="29"/>
      <c r="AA21" s="29"/>
      <c r="AB21" s="29"/>
      <c r="AC21" s="28"/>
      <c r="AD21" s="28"/>
      <c r="AG21" s="29"/>
      <c r="AH21" s="29"/>
      <c r="AI21" s="29"/>
      <c r="AK21" s="26"/>
    </row>
    <row r="22" spans="1:37" s="27" customFormat="1" ht="15" customHeight="1">
      <c r="E22" s="28"/>
      <c r="F22" s="28"/>
      <c r="G22" s="28"/>
      <c r="H22" s="28"/>
      <c r="I22" s="28"/>
      <c r="L22" s="29"/>
      <c r="M22" s="29"/>
      <c r="N22" s="142"/>
      <c r="O22" s="28"/>
      <c r="P22" s="28"/>
      <c r="S22" s="29"/>
      <c r="T22" s="29"/>
      <c r="U22" s="29"/>
      <c r="V22" s="28"/>
      <c r="W22" s="28"/>
      <c r="Z22" s="29"/>
      <c r="AA22" s="29"/>
      <c r="AB22" s="29"/>
      <c r="AC22" s="28"/>
      <c r="AD22" s="28"/>
      <c r="AG22" s="29"/>
      <c r="AH22" s="29"/>
      <c r="AI22" s="29"/>
      <c r="AJ22" s="26"/>
    </row>
    <row r="23" spans="1:37" s="27" customFormat="1" ht="15" customHeight="1">
      <c r="E23" s="28"/>
      <c r="F23" s="28"/>
      <c r="G23" s="28"/>
      <c r="H23" s="28"/>
      <c r="I23" s="28"/>
      <c r="L23" s="29"/>
      <c r="M23" s="29"/>
      <c r="N23" s="140"/>
      <c r="O23" s="28"/>
      <c r="P23" s="28"/>
      <c r="S23" s="29"/>
      <c r="T23" s="29"/>
      <c r="U23" s="29"/>
      <c r="V23" s="28"/>
      <c r="W23" s="28"/>
      <c r="Z23" s="29"/>
      <c r="AA23" s="29"/>
      <c r="AB23" s="29"/>
      <c r="AC23" s="28"/>
      <c r="AD23" s="28"/>
      <c r="AG23" s="29"/>
      <c r="AH23" s="29"/>
      <c r="AI23" s="29"/>
      <c r="AJ23" s="26"/>
    </row>
    <row r="24" spans="1:37" s="27" customFormat="1" ht="15" customHeight="1">
      <c r="E24" s="28"/>
      <c r="F24" s="28"/>
      <c r="G24" s="28"/>
      <c r="H24" s="28"/>
      <c r="I24" s="28"/>
      <c r="L24" s="29"/>
      <c r="M24" s="29"/>
      <c r="N24" s="29"/>
      <c r="O24" s="28"/>
      <c r="P24" s="28"/>
      <c r="S24" s="29"/>
      <c r="T24" s="29"/>
      <c r="U24" s="29"/>
      <c r="V24" s="28"/>
      <c r="W24" s="28"/>
      <c r="Z24" s="29"/>
      <c r="AA24" s="29"/>
      <c r="AB24" s="29"/>
      <c r="AC24" s="28"/>
      <c r="AD24" s="28"/>
      <c r="AG24" s="29"/>
      <c r="AH24" s="29"/>
      <c r="AI24" s="29"/>
      <c r="AJ24" s="26"/>
    </row>
    <row r="25" spans="1:37" s="27" customFormat="1" ht="15" customHeight="1">
      <c r="E25" s="28"/>
      <c r="F25" s="28"/>
      <c r="G25" s="28"/>
      <c r="H25" s="28"/>
      <c r="I25" s="28"/>
      <c r="L25" s="29"/>
      <c r="M25" s="29"/>
      <c r="N25" s="29"/>
      <c r="O25" s="28"/>
      <c r="P25" s="28"/>
      <c r="S25" s="29"/>
      <c r="T25" s="29"/>
      <c r="U25" s="29"/>
      <c r="V25" s="28"/>
      <c r="W25" s="28"/>
      <c r="Z25" s="29"/>
      <c r="AA25" s="29"/>
      <c r="AB25" s="29"/>
      <c r="AC25" s="28"/>
      <c r="AD25" s="28"/>
      <c r="AG25" s="29"/>
      <c r="AH25" s="29"/>
      <c r="AI25" s="29"/>
      <c r="AJ25" s="26"/>
    </row>
    <row r="26" spans="1:37" s="27" customFormat="1" ht="15" customHeight="1">
      <c r="E26" s="28"/>
      <c r="F26" s="28"/>
      <c r="G26" s="28"/>
      <c r="H26" s="28"/>
      <c r="I26" s="28"/>
      <c r="L26" s="29"/>
      <c r="M26" s="29"/>
      <c r="N26" s="29"/>
      <c r="O26" s="28"/>
      <c r="P26" s="28"/>
      <c r="S26" s="29"/>
      <c r="T26" s="29"/>
      <c r="U26" s="29"/>
      <c r="V26" s="28"/>
      <c r="W26" s="28"/>
      <c r="Z26" s="29"/>
      <c r="AA26" s="29"/>
      <c r="AB26" s="29"/>
      <c r="AC26" s="28"/>
      <c r="AD26" s="28"/>
      <c r="AG26" s="29"/>
      <c r="AH26" s="29"/>
      <c r="AI26" s="29"/>
      <c r="AJ26" s="26"/>
    </row>
    <row r="27" spans="1:37" s="27" customFormat="1" ht="15" customHeight="1">
      <c r="E27" s="28"/>
      <c r="F27" s="28"/>
      <c r="G27" s="28"/>
      <c r="H27" s="28"/>
      <c r="I27" s="28"/>
      <c r="L27" s="29"/>
      <c r="M27" s="29"/>
      <c r="N27" s="29"/>
      <c r="O27" s="28"/>
      <c r="P27" s="28"/>
      <c r="S27" s="29"/>
      <c r="T27" s="29"/>
      <c r="U27" s="29"/>
      <c r="V27" s="28"/>
      <c r="W27" s="28"/>
      <c r="Z27" s="29"/>
      <c r="AA27" s="29"/>
      <c r="AB27" s="29"/>
      <c r="AC27" s="28"/>
      <c r="AD27" s="28"/>
      <c r="AG27" s="29"/>
      <c r="AH27" s="29"/>
      <c r="AI27" s="29"/>
      <c r="AJ27" s="26"/>
    </row>
    <row r="28" spans="1:37" s="27" customFormat="1" ht="15" customHeight="1">
      <c r="E28" s="28"/>
      <c r="F28" s="28"/>
      <c r="G28" s="28"/>
      <c r="H28" s="28"/>
      <c r="I28" s="28"/>
      <c r="L28" s="29"/>
      <c r="M28" s="29"/>
      <c r="N28" s="29"/>
      <c r="O28" s="28"/>
      <c r="P28" s="28"/>
      <c r="S28" s="29"/>
      <c r="T28" s="29"/>
      <c r="U28" s="29"/>
      <c r="V28" s="28"/>
      <c r="W28" s="28"/>
      <c r="Z28" s="29"/>
      <c r="AA28" s="29"/>
      <c r="AB28" s="29"/>
      <c r="AC28" s="28"/>
      <c r="AD28" s="28"/>
      <c r="AG28" s="29"/>
      <c r="AH28" s="29"/>
      <c r="AI28" s="29"/>
      <c r="AJ28" s="26"/>
    </row>
    <row r="29" spans="1:37" s="27" customFormat="1" ht="15" customHeight="1">
      <c r="E29" s="28"/>
      <c r="F29" s="28"/>
      <c r="G29" s="28"/>
      <c r="H29" s="28"/>
      <c r="I29" s="28"/>
      <c r="L29" s="29"/>
      <c r="M29" s="29"/>
      <c r="N29" s="29"/>
      <c r="O29" s="28"/>
      <c r="P29" s="28"/>
      <c r="S29" s="29"/>
      <c r="T29" s="29"/>
      <c r="U29" s="29"/>
      <c r="V29" s="28"/>
      <c r="W29" s="28"/>
      <c r="Z29" s="29"/>
      <c r="AA29" s="29"/>
      <c r="AB29" s="29"/>
      <c r="AC29" s="28"/>
      <c r="AD29" s="28"/>
      <c r="AG29" s="29"/>
      <c r="AH29" s="29"/>
      <c r="AI29" s="29"/>
      <c r="AJ29" s="26"/>
    </row>
    <row r="30" spans="1:37" s="27" customFormat="1" ht="15" customHeight="1">
      <c r="E30" s="28"/>
      <c r="F30" s="28"/>
      <c r="G30" s="28"/>
      <c r="H30" s="28"/>
      <c r="I30" s="28"/>
      <c r="L30" s="29"/>
      <c r="M30" s="29"/>
      <c r="N30" s="29"/>
      <c r="O30" s="28"/>
      <c r="P30" s="28"/>
      <c r="S30" s="29"/>
      <c r="T30" s="29"/>
      <c r="U30" s="29"/>
      <c r="V30" s="28"/>
      <c r="W30" s="28"/>
      <c r="Z30" s="29"/>
      <c r="AA30" s="29"/>
      <c r="AB30" s="29"/>
      <c r="AC30" s="28"/>
      <c r="AD30" s="28"/>
      <c r="AG30" s="29"/>
      <c r="AH30" s="29"/>
      <c r="AI30" s="29"/>
      <c r="AJ30" s="26"/>
    </row>
    <row r="31" spans="1:37" s="27" customFormat="1" ht="15" customHeight="1">
      <c r="E31" s="28"/>
      <c r="F31" s="28"/>
      <c r="G31" s="28"/>
      <c r="H31" s="28"/>
      <c r="I31" s="28"/>
      <c r="L31" s="29"/>
      <c r="M31" s="29"/>
      <c r="N31" s="29"/>
      <c r="O31" s="28"/>
      <c r="P31" s="28"/>
      <c r="S31" s="29"/>
      <c r="T31" s="29"/>
      <c r="U31" s="29"/>
      <c r="V31" s="28"/>
      <c r="W31" s="28"/>
      <c r="Z31" s="29"/>
      <c r="AA31" s="29"/>
      <c r="AB31" s="29"/>
      <c r="AC31" s="28"/>
      <c r="AD31" s="28"/>
      <c r="AG31" s="29"/>
      <c r="AH31" s="29"/>
      <c r="AI31" s="29"/>
      <c r="AJ31" s="26"/>
    </row>
    <row r="32" spans="1:37" s="27" customFormat="1" ht="15" customHeight="1">
      <c r="E32" s="28"/>
      <c r="F32" s="28"/>
      <c r="G32" s="28"/>
      <c r="H32" s="28"/>
      <c r="I32" s="28"/>
      <c r="L32" s="29"/>
      <c r="M32" s="29"/>
      <c r="N32" s="29"/>
      <c r="O32" s="28"/>
      <c r="P32" s="28"/>
      <c r="S32" s="29"/>
      <c r="T32" s="29"/>
      <c r="U32" s="29"/>
      <c r="V32" s="28"/>
      <c r="W32" s="28"/>
      <c r="Z32" s="29"/>
      <c r="AA32" s="29"/>
      <c r="AB32" s="29"/>
      <c r="AC32" s="28"/>
      <c r="AD32" s="28"/>
      <c r="AG32" s="29"/>
      <c r="AH32" s="29"/>
      <c r="AI32" s="29"/>
      <c r="AJ32" s="26"/>
    </row>
    <row r="33" spans="5:36" s="27" customFormat="1" ht="15" customHeight="1">
      <c r="E33" s="28"/>
      <c r="F33" s="28"/>
      <c r="G33" s="28"/>
      <c r="H33" s="28"/>
      <c r="I33" s="28"/>
      <c r="L33" s="29"/>
      <c r="M33" s="29"/>
      <c r="N33" s="29"/>
      <c r="O33" s="28"/>
      <c r="P33" s="28"/>
      <c r="S33" s="29"/>
      <c r="T33" s="29"/>
      <c r="U33" s="29"/>
      <c r="V33" s="28"/>
      <c r="W33" s="28"/>
      <c r="Z33" s="29"/>
      <c r="AA33" s="29"/>
      <c r="AB33" s="29"/>
      <c r="AC33" s="28"/>
      <c r="AD33" s="28"/>
      <c r="AG33" s="29"/>
      <c r="AH33" s="29"/>
      <c r="AI33" s="29"/>
      <c r="AJ33" s="26"/>
    </row>
    <row r="34" spans="5:36" s="27" customFormat="1" ht="15" customHeight="1">
      <c r="E34" s="28"/>
      <c r="F34" s="28"/>
      <c r="G34" s="28"/>
      <c r="H34" s="28"/>
      <c r="I34" s="28"/>
      <c r="L34" s="29"/>
      <c r="M34" s="29"/>
      <c r="N34" s="29"/>
      <c r="O34" s="28"/>
      <c r="P34" s="28"/>
      <c r="S34" s="29"/>
      <c r="T34" s="29"/>
      <c r="U34" s="29"/>
      <c r="V34" s="28"/>
      <c r="W34" s="28"/>
      <c r="Z34" s="29"/>
      <c r="AA34" s="29"/>
      <c r="AB34" s="29"/>
      <c r="AC34" s="28"/>
      <c r="AD34" s="28"/>
      <c r="AG34" s="29"/>
      <c r="AH34" s="29"/>
      <c r="AI34" s="29"/>
      <c r="AJ34" s="26"/>
    </row>
    <row r="35" spans="5:36" s="27" customFormat="1" ht="15" customHeight="1">
      <c r="E35" s="28"/>
      <c r="F35" s="28"/>
      <c r="G35" s="28"/>
      <c r="H35" s="28"/>
      <c r="I35" s="28"/>
      <c r="L35" s="29"/>
      <c r="M35" s="29"/>
      <c r="N35" s="29"/>
      <c r="O35" s="28"/>
      <c r="P35" s="28"/>
      <c r="S35" s="29"/>
      <c r="T35" s="29"/>
      <c r="U35" s="29"/>
      <c r="V35" s="28"/>
      <c r="W35" s="28"/>
      <c r="Z35" s="29"/>
      <c r="AA35" s="29"/>
      <c r="AB35" s="29"/>
      <c r="AC35" s="28"/>
      <c r="AD35" s="28"/>
      <c r="AG35" s="29"/>
      <c r="AH35" s="29"/>
      <c r="AI35" s="29"/>
      <c r="AJ35" s="26"/>
    </row>
    <row r="36" spans="5:36" s="27" customFormat="1" ht="15" customHeight="1">
      <c r="E36" s="28"/>
      <c r="F36" s="28"/>
      <c r="G36" s="28"/>
      <c r="H36" s="28"/>
      <c r="I36" s="28"/>
      <c r="L36" s="29"/>
      <c r="M36" s="29"/>
      <c r="N36" s="29"/>
      <c r="O36" s="28"/>
      <c r="P36" s="28"/>
      <c r="S36" s="29"/>
      <c r="T36" s="29"/>
      <c r="U36" s="29"/>
      <c r="V36" s="28"/>
      <c r="W36" s="28"/>
      <c r="Z36" s="29"/>
      <c r="AA36" s="29"/>
      <c r="AB36" s="29"/>
      <c r="AC36" s="28"/>
      <c r="AD36" s="28"/>
      <c r="AG36" s="29"/>
      <c r="AH36" s="29"/>
      <c r="AI36" s="29"/>
      <c r="AJ36" s="26"/>
    </row>
    <row r="37" spans="5:36" s="27" customFormat="1" ht="15" customHeight="1">
      <c r="E37" s="28"/>
      <c r="F37" s="28"/>
      <c r="G37" s="28"/>
      <c r="H37" s="28"/>
      <c r="I37" s="28"/>
      <c r="L37" s="29"/>
      <c r="M37" s="29"/>
      <c r="N37" s="29"/>
      <c r="O37" s="28"/>
      <c r="P37" s="28"/>
      <c r="S37" s="29"/>
      <c r="T37" s="29"/>
      <c r="U37" s="29"/>
      <c r="V37" s="28"/>
      <c r="W37" s="28"/>
      <c r="Z37" s="29"/>
      <c r="AA37" s="29"/>
      <c r="AB37" s="29"/>
      <c r="AC37" s="28"/>
      <c r="AD37" s="28"/>
      <c r="AG37" s="29"/>
      <c r="AH37" s="29"/>
      <c r="AI37" s="29"/>
      <c r="AJ37" s="26"/>
    </row>
    <row r="38" spans="5:36" s="27" customFormat="1" ht="15" customHeight="1">
      <c r="E38" s="28"/>
      <c r="F38" s="28"/>
      <c r="G38" s="28"/>
      <c r="H38" s="28"/>
      <c r="I38" s="28"/>
      <c r="L38" s="29"/>
      <c r="M38" s="29"/>
      <c r="N38" s="29"/>
      <c r="O38" s="28"/>
      <c r="P38" s="28"/>
      <c r="S38" s="29"/>
      <c r="T38" s="29"/>
      <c r="U38" s="29"/>
      <c r="V38" s="28"/>
      <c r="W38" s="28"/>
      <c r="Z38" s="29"/>
      <c r="AA38" s="29"/>
      <c r="AB38" s="29"/>
      <c r="AC38" s="28"/>
      <c r="AD38" s="28"/>
      <c r="AG38" s="29"/>
      <c r="AH38" s="29"/>
      <c r="AI38" s="29"/>
      <c r="AJ38" s="26"/>
    </row>
    <row r="39" spans="5:36" s="27" customFormat="1" ht="15" customHeight="1">
      <c r="E39" s="28"/>
      <c r="F39" s="28"/>
      <c r="G39" s="28"/>
      <c r="H39" s="28"/>
      <c r="I39" s="28"/>
      <c r="L39" s="29"/>
      <c r="M39" s="29"/>
      <c r="N39" s="29"/>
      <c r="O39" s="28"/>
      <c r="P39" s="28"/>
      <c r="S39" s="29"/>
      <c r="T39" s="29"/>
      <c r="U39" s="29"/>
      <c r="V39" s="28"/>
      <c r="W39" s="28"/>
      <c r="Z39" s="29"/>
      <c r="AA39" s="29"/>
      <c r="AB39" s="29"/>
      <c r="AC39" s="28"/>
      <c r="AD39" s="28"/>
      <c r="AG39" s="29"/>
      <c r="AH39" s="29"/>
      <c r="AI39" s="29"/>
      <c r="AJ39" s="26"/>
    </row>
    <row r="40" spans="5:36" s="27" customFormat="1" ht="15" customHeight="1">
      <c r="E40" s="28"/>
      <c r="F40" s="28"/>
      <c r="G40" s="28"/>
      <c r="H40" s="28"/>
      <c r="I40" s="28"/>
      <c r="L40" s="29"/>
      <c r="M40" s="29"/>
      <c r="N40" s="29"/>
      <c r="O40" s="28"/>
      <c r="P40" s="28"/>
      <c r="S40" s="29"/>
      <c r="T40" s="29"/>
      <c r="U40" s="29"/>
      <c r="V40" s="28"/>
      <c r="W40" s="28"/>
      <c r="Z40" s="29"/>
      <c r="AA40" s="29"/>
      <c r="AB40" s="29"/>
      <c r="AC40" s="28"/>
      <c r="AD40" s="28"/>
      <c r="AG40" s="29"/>
      <c r="AH40" s="29"/>
      <c r="AI40" s="29"/>
      <c r="AJ40" s="26"/>
    </row>
    <row r="41" spans="5:36" s="27" customFormat="1" ht="15" customHeight="1">
      <c r="E41" s="28"/>
      <c r="F41" s="28"/>
      <c r="G41" s="28"/>
      <c r="H41" s="28"/>
      <c r="I41" s="28"/>
      <c r="L41" s="29"/>
      <c r="M41" s="29"/>
      <c r="N41" s="29"/>
      <c r="O41" s="28"/>
      <c r="P41" s="28"/>
      <c r="S41" s="29"/>
      <c r="T41" s="29"/>
      <c r="U41" s="29"/>
      <c r="V41" s="28"/>
      <c r="W41" s="28"/>
      <c r="Z41" s="29"/>
      <c r="AA41" s="29"/>
      <c r="AB41" s="29"/>
      <c r="AC41" s="28"/>
      <c r="AD41" s="28"/>
      <c r="AG41" s="29"/>
      <c r="AH41" s="29"/>
      <c r="AI41" s="29"/>
      <c r="AJ41" s="26"/>
    </row>
    <row r="42" spans="5:36" s="27" customFormat="1" ht="15" customHeight="1">
      <c r="E42" s="28"/>
      <c r="F42" s="28"/>
      <c r="G42" s="28"/>
      <c r="H42" s="28"/>
      <c r="I42" s="28"/>
      <c r="L42" s="29"/>
      <c r="M42" s="29"/>
      <c r="N42" s="29"/>
      <c r="O42" s="28"/>
      <c r="P42" s="28"/>
      <c r="S42" s="29"/>
      <c r="T42" s="29"/>
      <c r="U42" s="29"/>
      <c r="V42" s="28"/>
      <c r="W42" s="28"/>
      <c r="Z42" s="29"/>
      <c r="AA42" s="29"/>
      <c r="AB42" s="29"/>
      <c r="AC42" s="28"/>
      <c r="AD42" s="28"/>
      <c r="AG42" s="29"/>
      <c r="AH42" s="29"/>
      <c r="AI42" s="29"/>
      <c r="AJ42" s="26"/>
    </row>
    <row r="43" spans="5:36" s="27" customFormat="1" ht="15" customHeight="1">
      <c r="E43" s="28"/>
      <c r="F43" s="28"/>
      <c r="G43" s="28"/>
      <c r="H43" s="28"/>
      <c r="I43" s="28"/>
      <c r="L43" s="29"/>
      <c r="M43" s="29"/>
      <c r="N43" s="29"/>
      <c r="O43" s="28"/>
      <c r="P43" s="28"/>
      <c r="S43" s="29"/>
      <c r="T43" s="29"/>
      <c r="U43" s="29"/>
      <c r="V43" s="28"/>
      <c r="W43" s="28"/>
      <c r="Z43" s="29"/>
      <c r="AA43" s="29"/>
      <c r="AB43" s="29"/>
      <c r="AC43" s="28"/>
      <c r="AD43" s="28"/>
      <c r="AG43" s="29"/>
      <c r="AH43" s="29"/>
      <c r="AI43" s="29"/>
      <c r="AJ43" s="26"/>
    </row>
    <row r="44" spans="5:36" s="27" customFormat="1" ht="15" customHeight="1">
      <c r="E44" s="28"/>
      <c r="F44" s="28"/>
      <c r="G44" s="28"/>
      <c r="H44" s="28"/>
      <c r="I44" s="28"/>
      <c r="L44" s="29"/>
      <c r="M44" s="29"/>
      <c r="N44" s="29"/>
      <c r="O44" s="28"/>
      <c r="P44" s="28"/>
      <c r="S44" s="29"/>
      <c r="T44" s="29"/>
      <c r="U44" s="29"/>
      <c r="V44" s="28"/>
      <c r="W44" s="28"/>
      <c r="Z44" s="29"/>
      <c r="AA44" s="29"/>
      <c r="AB44" s="29"/>
      <c r="AC44" s="28"/>
      <c r="AD44" s="28"/>
      <c r="AG44" s="29"/>
      <c r="AH44" s="29"/>
      <c r="AI44" s="29"/>
      <c r="AJ44" s="26"/>
    </row>
    <row r="45" spans="5:36" s="27" customFormat="1" ht="15" customHeight="1">
      <c r="E45" s="28"/>
      <c r="F45" s="28"/>
      <c r="G45" s="28"/>
      <c r="H45" s="28"/>
      <c r="I45" s="28"/>
      <c r="L45" s="29"/>
      <c r="M45" s="29"/>
      <c r="N45" s="29"/>
      <c r="O45" s="28"/>
      <c r="P45" s="28"/>
      <c r="S45" s="29"/>
      <c r="T45" s="29"/>
      <c r="U45" s="29"/>
      <c r="V45" s="28"/>
      <c r="W45" s="28"/>
      <c r="Z45" s="29"/>
      <c r="AA45" s="29"/>
      <c r="AB45" s="29"/>
      <c r="AC45" s="28"/>
      <c r="AD45" s="28"/>
      <c r="AG45" s="29"/>
      <c r="AH45" s="29"/>
      <c r="AI45" s="29"/>
      <c r="AJ45" s="26"/>
    </row>
    <row r="46" spans="5:36" s="27" customFormat="1" ht="15" customHeight="1">
      <c r="E46" s="28"/>
      <c r="F46" s="28"/>
      <c r="G46" s="28"/>
      <c r="H46" s="28"/>
      <c r="I46" s="28"/>
      <c r="L46" s="29"/>
      <c r="M46" s="29"/>
      <c r="N46" s="29"/>
      <c r="O46" s="28"/>
      <c r="P46" s="28"/>
      <c r="S46" s="29"/>
      <c r="T46" s="29"/>
      <c r="U46" s="29"/>
      <c r="V46" s="28"/>
      <c r="W46" s="28"/>
      <c r="Z46" s="29"/>
      <c r="AA46" s="29"/>
      <c r="AB46" s="29"/>
      <c r="AC46" s="28"/>
      <c r="AD46" s="28"/>
      <c r="AG46" s="29"/>
      <c r="AH46" s="29"/>
      <c r="AI46" s="29"/>
      <c r="AJ46" s="26"/>
    </row>
    <row r="47" spans="5:36" s="27" customFormat="1" ht="15" customHeight="1">
      <c r="E47" s="28"/>
      <c r="F47" s="28"/>
      <c r="G47" s="28"/>
      <c r="H47" s="28"/>
      <c r="I47" s="28"/>
      <c r="L47" s="29"/>
      <c r="M47" s="29"/>
      <c r="N47" s="29"/>
      <c r="O47" s="28"/>
      <c r="P47" s="28"/>
      <c r="S47" s="29"/>
      <c r="T47" s="29"/>
      <c r="U47" s="29"/>
      <c r="V47" s="28"/>
      <c r="W47" s="28"/>
      <c r="Z47" s="29"/>
      <c r="AA47" s="29"/>
      <c r="AB47" s="29"/>
      <c r="AC47" s="28"/>
      <c r="AD47" s="28"/>
      <c r="AG47" s="29"/>
      <c r="AH47" s="29"/>
      <c r="AI47" s="29"/>
      <c r="AJ47" s="26"/>
    </row>
    <row r="48" spans="5:36" s="27" customFormat="1" ht="15" customHeight="1">
      <c r="E48" s="28"/>
      <c r="F48" s="28"/>
      <c r="G48" s="28"/>
      <c r="H48" s="28"/>
      <c r="I48" s="28"/>
      <c r="L48" s="29"/>
      <c r="M48" s="29"/>
      <c r="N48" s="29"/>
      <c r="O48" s="28"/>
      <c r="P48" s="28"/>
      <c r="S48" s="29"/>
      <c r="T48" s="29"/>
      <c r="U48" s="29"/>
      <c r="V48" s="28"/>
      <c r="W48" s="28"/>
      <c r="Z48" s="29"/>
      <c r="AA48" s="29"/>
      <c r="AB48" s="29"/>
      <c r="AC48" s="28"/>
      <c r="AD48" s="28"/>
      <c r="AG48" s="29"/>
      <c r="AH48" s="29"/>
      <c r="AI48" s="29"/>
      <c r="AJ48" s="26"/>
    </row>
    <row r="49" spans="5:36" s="27" customFormat="1" ht="15" customHeight="1">
      <c r="E49" s="28"/>
      <c r="F49" s="28"/>
      <c r="G49" s="28"/>
      <c r="H49" s="28"/>
      <c r="I49" s="28"/>
      <c r="L49" s="29"/>
      <c r="M49" s="29"/>
      <c r="N49" s="29"/>
      <c r="O49" s="28"/>
      <c r="P49" s="28"/>
      <c r="S49" s="29"/>
      <c r="T49" s="29"/>
      <c r="U49" s="29"/>
      <c r="V49" s="28"/>
      <c r="W49" s="28"/>
      <c r="Z49" s="29"/>
      <c r="AA49" s="29"/>
      <c r="AB49" s="29"/>
      <c r="AC49" s="28"/>
      <c r="AD49" s="28"/>
      <c r="AG49" s="29"/>
      <c r="AH49" s="29"/>
      <c r="AI49" s="29"/>
      <c r="AJ49" s="26"/>
    </row>
    <row r="50" spans="5:36" s="27" customFormat="1" ht="15" customHeight="1">
      <c r="E50" s="28"/>
      <c r="F50" s="28"/>
      <c r="G50" s="28"/>
      <c r="H50" s="28"/>
      <c r="I50" s="28"/>
      <c r="L50" s="29"/>
      <c r="M50" s="29"/>
      <c r="N50" s="29"/>
      <c r="O50" s="28"/>
      <c r="P50" s="28"/>
      <c r="S50" s="29"/>
      <c r="T50" s="29"/>
      <c r="U50" s="29"/>
      <c r="V50" s="28"/>
      <c r="W50" s="28"/>
      <c r="Z50" s="29"/>
      <c r="AA50" s="29"/>
      <c r="AB50" s="29"/>
      <c r="AC50" s="28"/>
      <c r="AD50" s="28"/>
      <c r="AG50" s="29"/>
      <c r="AH50" s="29"/>
      <c r="AI50" s="29"/>
      <c r="AJ50" s="26"/>
    </row>
    <row r="51" spans="5:36" s="27" customFormat="1" ht="15" customHeight="1">
      <c r="E51" s="28"/>
      <c r="F51" s="28"/>
      <c r="G51" s="28"/>
      <c r="H51" s="28"/>
      <c r="I51" s="28"/>
      <c r="L51" s="29"/>
      <c r="M51" s="29"/>
      <c r="N51" s="29"/>
      <c r="O51" s="28"/>
      <c r="P51" s="28"/>
      <c r="S51" s="29"/>
      <c r="T51" s="29"/>
      <c r="U51" s="29"/>
      <c r="V51" s="28"/>
      <c r="W51" s="28"/>
      <c r="Z51" s="29"/>
      <c r="AA51" s="29"/>
      <c r="AB51" s="29"/>
      <c r="AC51" s="28"/>
      <c r="AD51" s="28"/>
      <c r="AG51" s="29"/>
      <c r="AH51" s="29"/>
      <c r="AI51" s="29"/>
      <c r="AJ51" s="26"/>
    </row>
    <row r="52" spans="5:36" s="27" customFormat="1" ht="15" customHeight="1">
      <c r="E52" s="28"/>
      <c r="F52" s="28"/>
      <c r="G52" s="28"/>
      <c r="H52" s="28"/>
      <c r="I52" s="28"/>
      <c r="L52" s="29"/>
      <c r="M52" s="29"/>
      <c r="N52" s="29"/>
      <c r="O52" s="28"/>
      <c r="P52" s="28"/>
      <c r="S52" s="29"/>
      <c r="T52" s="29"/>
      <c r="U52" s="29"/>
      <c r="V52" s="28"/>
      <c r="W52" s="28"/>
      <c r="Z52" s="29"/>
      <c r="AA52" s="29"/>
      <c r="AB52" s="29"/>
      <c r="AC52" s="28"/>
      <c r="AD52" s="28"/>
      <c r="AG52" s="29"/>
      <c r="AH52" s="29"/>
      <c r="AI52" s="29"/>
      <c r="AJ52" s="26"/>
    </row>
    <row r="53" spans="5:36" s="27" customFormat="1" ht="15" customHeight="1">
      <c r="E53" s="28"/>
      <c r="F53" s="28"/>
      <c r="G53" s="28"/>
      <c r="H53" s="28"/>
      <c r="I53" s="28"/>
      <c r="L53" s="29"/>
      <c r="M53" s="29"/>
      <c r="N53" s="29"/>
      <c r="O53" s="28"/>
      <c r="P53" s="28"/>
      <c r="S53" s="29"/>
      <c r="T53" s="29"/>
      <c r="U53" s="29"/>
      <c r="V53" s="28"/>
      <c r="W53" s="28"/>
      <c r="Z53" s="29"/>
      <c r="AA53" s="29"/>
      <c r="AB53" s="29"/>
      <c r="AC53" s="28"/>
      <c r="AD53" s="28"/>
      <c r="AG53" s="29"/>
      <c r="AH53" s="29"/>
      <c r="AI53" s="29"/>
      <c r="AJ53" s="26"/>
    </row>
    <row r="54" spans="5:36" s="27" customFormat="1" ht="15" customHeight="1">
      <c r="E54" s="28"/>
      <c r="F54" s="28"/>
      <c r="G54" s="28"/>
      <c r="H54" s="28"/>
      <c r="I54" s="28"/>
      <c r="L54" s="29"/>
      <c r="M54" s="29"/>
      <c r="N54" s="29"/>
      <c r="O54" s="28"/>
      <c r="P54" s="28"/>
      <c r="S54" s="29"/>
      <c r="T54" s="29"/>
      <c r="U54" s="29"/>
      <c r="V54" s="28"/>
      <c r="W54" s="28"/>
      <c r="Z54" s="29"/>
      <c r="AA54" s="29"/>
      <c r="AB54" s="29"/>
      <c r="AC54" s="28"/>
      <c r="AD54" s="28"/>
      <c r="AG54" s="29"/>
      <c r="AH54" s="29"/>
      <c r="AI54" s="29"/>
      <c r="AJ54" s="26"/>
    </row>
    <row r="55" spans="5:36" s="27" customFormat="1" ht="15" customHeight="1">
      <c r="E55" s="28"/>
      <c r="F55" s="28"/>
      <c r="G55" s="28"/>
      <c r="H55" s="28"/>
      <c r="I55" s="28"/>
      <c r="L55" s="29"/>
      <c r="M55" s="29"/>
      <c r="N55" s="29"/>
      <c r="O55" s="28"/>
      <c r="P55" s="28"/>
      <c r="S55" s="29"/>
      <c r="T55" s="29"/>
      <c r="U55" s="29"/>
      <c r="V55" s="28"/>
      <c r="W55" s="28"/>
      <c r="Z55" s="29"/>
      <c r="AA55" s="29"/>
      <c r="AB55" s="29"/>
      <c r="AC55" s="28"/>
      <c r="AD55" s="28"/>
      <c r="AG55" s="29"/>
      <c r="AH55" s="29"/>
      <c r="AI55" s="29"/>
      <c r="AJ55" s="26"/>
    </row>
    <row r="56" spans="5:36" s="27" customFormat="1" ht="15" customHeight="1">
      <c r="E56" s="28"/>
      <c r="F56" s="28"/>
      <c r="G56" s="28"/>
      <c r="H56" s="28"/>
      <c r="I56" s="28"/>
      <c r="L56" s="29"/>
      <c r="M56" s="29"/>
      <c r="N56" s="29"/>
      <c r="O56" s="28"/>
      <c r="P56" s="28"/>
      <c r="S56" s="29"/>
      <c r="T56" s="29"/>
      <c r="U56" s="29"/>
      <c r="V56" s="28"/>
      <c r="W56" s="28"/>
      <c r="Z56" s="29"/>
      <c r="AA56" s="29"/>
      <c r="AB56" s="29"/>
      <c r="AC56" s="28"/>
      <c r="AD56" s="28"/>
      <c r="AG56" s="29"/>
      <c r="AH56" s="29"/>
      <c r="AI56" s="29"/>
      <c r="AJ56" s="26"/>
    </row>
    <row r="57" spans="5:36" s="27" customFormat="1" ht="15" customHeight="1">
      <c r="E57" s="28"/>
      <c r="F57" s="28"/>
      <c r="G57" s="28"/>
      <c r="H57" s="28"/>
      <c r="I57" s="28"/>
      <c r="L57" s="29"/>
      <c r="M57" s="29"/>
      <c r="N57" s="29"/>
      <c r="O57" s="28"/>
      <c r="P57" s="28"/>
      <c r="S57" s="29"/>
      <c r="T57" s="29"/>
      <c r="U57" s="29"/>
      <c r="V57" s="28"/>
      <c r="W57" s="28"/>
      <c r="Z57" s="29"/>
      <c r="AA57" s="29"/>
      <c r="AB57" s="29"/>
      <c r="AC57" s="28"/>
      <c r="AD57" s="28"/>
      <c r="AG57" s="29"/>
      <c r="AH57" s="29"/>
      <c r="AI57" s="29"/>
      <c r="AJ57" s="26"/>
    </row>
    <row r="58" spans="5:36" s="27" customFormat="1" ht="15" customHeight="1">
      <c r="E58" s="28"/>
      <c r="F58" s="28"/>
      <c r="G58" s="28"/>
      <c r="H58" s="28"/>
      <c r="I58" s="28"/>
      <c r="L58" s="29"/>
      <c r="M58" s="29"/>
      <c r="N58" s="29"/>
      <c r="O58" s="28"/>
      <c r="P58" s="28"/>
      <c r="S58" s="29"/>
      <c r="T58" s="29"/>
      <c r="U58" s="29"/>
      <c r="V58" s="28"/>
      <c r="W58" s="28"/>
      <c r="Z58" s="29"/>
      <c r="AA58" s="29"/>
      <c r="AB58" s="29"/>
      <c r="AC58" s="28"/>
      <c r="AD58" s="28"/>
      <c r="AG58" s="29"/>
      <c r="AH58" s="29"/>
      <c r="AI58" s="29"/>
      <c r="AJ58" s="26"/>
    </row>
    <row r="59" spans="5:36" s="27" customFormat="1" ht="15" customHeight="1">
      <c r="E59" s="28"/>
      <c r="F59" s="28"/>
      <c r="G59" s="28"/>
      <c r="H59" s="28"/>
      <c r="I59" s="28"/>
      <c r="L59" s="29"/>
      <c r="M59" s="29"/>
      <c r="N59" s="29"/>
      <c r="O59" s="28"/>
      <c r="P59" s="28"/>
      <c r="S59" s="29"/>
      <c r="T59" s="29"/>
      <c r="U59" s="29"/>
      <c r="V59" s="28"/>
      <c r="W59" s="28"/>
      <c r="Z59" s="29"/>
      <c r="AA59" s="29"/>
      <c r="AB59" s="29"/>
      <c r="AC59" s="28"/>
      <c r="AD59" s="28"/>
      <c r="AG59" s="29"/>
      <c r="AH59" s="29"/>
      <c r="AI59" s="29"/>
      <c r="AJ59" s="26"/>
    </row>
    <row r="60" spans="5:36" s="27" customFormat="1" ht="15" customHeight="1">
      <c r="E60" s="28"/>
      <c r="F60" s="28"/>
      <c r="G60" s="28"/>
      <c r="H60" s="28"/>
      <c r="I60" s="28"/>
      <c r="L60" s="29"/>
      <c r="M60" s="29"/>
      <c r="N60" s="29"/>
      <c r="O60" s="28"/>
      <c r="P60" s="28"/>
      <c r="S60" s="29"/>
      <c r="T60" s="29"/>
      <c r="U60" s="29"/>
      <c r="V60" s="28"/>
      <c r="W60" s="28"/>
      <c r="Z60" s="29"/>
      <c r="AA60" s="29"/>
      <c r="AB60" s="29"/>
      <c r="AC60" s="28"/>
      <c r="AD60" s="28"/>
      <c r="AG60" s="29"/>
      <c r="AH60" s="29"/>
      <c r="AI60" s="29"/>
      <c r="AJ60" s="26"/>
    </row>
    <row r="61" spans="5:36" s="27" customFormat="1" ht="15" customHeight="1">
      <c r="E61" s="28"/>
      <c r="F61" s="28"/>
      <c r="G61" s="28"/>
      <c r="H61" s="28"/>
      <c r="I61" s="28"/>
      <c r="L61" s="29"/>
      <c r="M61" s="29"/>
      <c r="N61" s="29"/>
      <c r="O61" s="28"/>
      <c r="P61" s="28"/>
      <c r="S61" s="29"/>
      <c r="T61" s="29"/>
      <c r="U61" s="29"/>
      <c r="V61" s="28"/>
      <c r="W61" s="28"/>
      <c r="Z61" s="29"/>
      <c r="AA61" s="29"/>
      <c r="AB61" s="29"/>
      <c r="AC61" s="28"/>
      <c r="AD61" s="28"/>
      <c r="AG61" s="29"/>
      <c r="AH61" s="29"/>
      <c r="AI61" s="29"/>
      <c r="AJ61" s="26"/>
    </row>
    <row r="62" spans="5:36" s="27" customFormat="1" ht="15" customHeight="1">
      <c r="E62" s="28"/>
      <c r="F62" s="28"/>
      <c r="G62" s="28"/>
      <c r="H62" s="28"/>
      <c r="I62" s="28"/>
      <c r="L62" s="29"/>
      <c r="M62" s="29"/>
      <c r="N62" s="29"/>
      <c r="O62" s="28"/>
      <c r="P62" s="28"/>
      <c r="S62" s="29"/>
      <c r="T62" s="29"/>
      <c r="U62" s="29"/>
      <c r="V62" s="28"/>
      <c r="W62" s="28"/>
      <c r="Z62" s="29"/>
      <c r="AA62" s="29"/>
      <c r="AB62" s="29"/>
      <c r="AC62" s="28"/>
      <c r="AD62" s="28"/>
      <c r="AG62" s="29"/>
      <c r="AH62" s="29"/>
      <c r="AI62" s="29"/>
      <c r="AJ62" s="26"/>
    </row>
    <row r="63" spans="5:36" s="27" customFormat="1" ht="15" customHeight="1">
      <c r="E63" s="28"/>
      <c r="F63" s="28"/>
      <c r="G63" s="28"/>
      <c r="H63" s="28"/>
      <c r="I63" s="28"/>
      <c r="L63" s="29"/>
      <c r="M63" s="29"/>
      <c r="N63" s="29"/>
      <c r="O63" s="28"/>
      <c r="P63" s="28"/>
      <c r="S63" s="29"/>
      <c r="T63" s="29"/>
      <c r="U63" s="29"/>
      <c r="V63" s="28"/>
      <c r="W63" s="28"/>
      <c r="Z63" s="29"/>
      <c r="AA63" s="29"/>
      <c r="AB63" s="29"/>
      <c r="AC63" s="28"/>
      <c r="AD63" s="28"/>
      <c r="AG63" s="29"/>
      <c r="AH63" s="29"/>
      <c r="AI63" s="29"/>
      <c r="AJ63" s="26"/>
    </row>
    <row r="64" spans="5:36" s="27" customFormat="1" ht="15" customHeight="1">
      <c r="E64" s="28"/>
      <c r="F64" s="28"/>
      <c r="G64" s="28"/>
      <c r="H64" s="28"/>
      <c r="I64" s="28"/>
      <c r="L64" s="29"/>
      <c r="M64" s="29"/>
      <c r="N64" s="29"/>
      <c r="O64" s="28"/>
      <c r="P64" s="28"/>
      <c r="S64" s="29"/>
      <c r="T64" s="29"/>
      <c r="U64" s="29"/>
      <c r="V64" s="28"/>
      <c r="W64" s="28"/>
      <c r="Z64" s="29"/>
      <c r="AA64" s="29"/>
      <c r="AB64" s="29"/>
      <c r="AC64" s="28"/>
      <c r="AD64" s="28"/>
      <c r="AG64" s="29"/>
      <c r="AH64" s="29"/>
      <c r="AI64" s="29"/>
      <c r="AJ64" s="26"/>
    </row>
    <row r="65" spans="5:36" s="27" customFormat="1" ht="15" customHeight="1">
      <c r="E65" s="28"/>
      <c r="F65" s="28"/>
      <c r="G65" s="28"/>
      <c r="H65" s="28"/>
      <c r="I65" s="28"/>
      <c r="L65" s="29"/>
      <c r="M65" s="29"/>
      <c r="N65" s="29"/>
      <c r="O65" s="28"/>
      <c r="P65" s="28"/>
      <c r="S65" s="29"/>
      <c r="T65" s="29"/>
      <c r="U65" s="29"/>
      <c r="V65" s="28"/>
      <c r="W65" s="28"/>
      <c r="Z65" s="29"/>
      <c r="AA65" s="29"/>
      <c r="AB65" s="29"/>
      <c r="AC65" s="28"/>
      <c r="AD65" s="28"/>
      <c r="AG65" s="29"/>
      <c r="AH65" s="29"/>
      <c r="AI65" s="29"/>
      <c r="AJ65" s="26"/>
    </row>
    <row r="66" spans="5:36" s="27" customFormat="1" ht="15" customHeight="1">
      <c r="E66" s="28"/>
      <c r="F66" s="28"/>
      <c r="G66" s="28"/>
      <c r="H66" s="28"/>
      <c r="I66" s="28"/>
      <c r="L66" s="29"/>
      <c r="M66" s="29"/>
      <c r="N66" s="29"/>
      <c r="O66" s="28"/>
      <c r="P66" s="28"/>
      <c r="S66" s="29"/>
      <c r="T66" s="29"/>
      <c r="U66" s="29"/>
      <c r="V66" s="28"/>
      <c r="W66" s="28"/>
      <c r="Z66" s="29"/>
      <c r="AA66" s="29"/>
      <c r="AB66" s="29"/>
      <c r="AC66" s="28"/>
      <c r="AD66" s="28"/>
      <c r="AG66" s="29"/>
      <c r="AH66" s="29"/>
      <c r="AI66" s="29"/>
      <c r="AJ66" s="26"/>
    </row>
    <row r="67" spans="5:36" s="27" customFormat="1" ht="15" customHeight="1">
      <c r="E67" s="28"/>
      <c r="F67" s="28"/>
      <c r="G67" s="28"/>
      <c r="H67" s="28"/>
      <c r="I67" s="28"/>
      <c r="L67" s="29"/>
      <c r="M67" s="29"/>
      <c r="N67" s="29"/>
      <c r="O67" s="28"/>
      <c r="P67" s="28"/>
      <c r="S67" s="29"/>
      <c r="T67" s="29"/>
      <c r="U67" s="29"/>
      <c r="V67" s="28"/>
      <c r="W67" s="28"/>
      <c r="Z67" s="29"/>
      <c r="AA67" s="29"/>
      <c r="AB67" s="29"/>
      <c r="AC67" s="28"/>
      <c r="AD67" s="28"/>
      <c r="AG67" s="29"/>
      <c r="AH67" s="29"/>
      <c r="AI67" s="29"/>
      <c r="AJ67" s="26"/>
    </row>
    <row r="68" spans="5:36" s="27" customFormat="1" ht="15" customHeight="1">
      <c r="E68" s="28"/>
      <c r="F68" s="28"/>
      <c r="G68" s="28"/>
      <c r="H68" s="28"/>
      <c r="I68" s="28"/>
      <c r="L68" s="29"/>
      <c r="M68" s="29"/>
      <c r="N68" s="29"/>
      <c r="O68" s="28"/>
      <c r="P68" s="28"/>
      <c r="S68" s="29"/>
      <c r="T68" s="29"/>
      <c r="U68" s="29"/>
      <c r="V68" s="28"/>
      <c r="W68" s="28"/>
      <c r="Z68" s="29"/>
      <c r="AA68" s="29"/>
      <c r="AB68" s="29"/>
      <c r="AC68" s="28"/>
      <c r="AD68" s="28"/>
      <c r="AG68" s="29"/>
      <c r="AH68" s="29"/>
      <c r="AI68" s="29"/>
      <c r="AJ68" s="26"/>
    </row>
    <row r="69" spans="5:36" s="27" customFormat="1" ht="15" customHeight="1">
      <c r="E69" s="28"/>
      <c r="F69" s="28"/>
      <c r="G69" s="28"/>
      <c r="H69" s="28"/>
      <c r="I69" s="28"/>
      <c r="L69" s="29"/>
      <c r="M69" s="29"/>
      <c r="N69" s="29"/>
      <c r="O69" s="28"/>
      <c r="P69" s="28"/>
      <c r="S69" s="29"/>
      <c r="T69" s="29"/>
      <c r="U69" s="29"/>
      <c r="V69" s="28"/>
      <c r="W69" s="28"/>
      <c r="Z69" s="29"/>
      <c r="AA69" s="29"/>
      <c r="AB69" s="29"/>
      <c r="AC69" s="28"/>
      <c r="AD69" s="28"/>
      <c r="AG69" s="29"/>
      <c r="AH69" s="29"/>
      <c r="AI69" s="29"/>
      <c r="AJ69" s="26"/>
    </row>
    <row r="70" spans="5:36" s="27" customFormat="1" ht="15" customHeight="1">
      <c r="E70" s="28"/>
      <c r="F70" s="28"/>
      <c r="G70" s="28"/>
      <c r="H70" s="28"/>
      <c r="I70" s="28"/>
      <c r="L70" s="29"/>
      <c r="M70" s="29"/>
      <c r="N70" s="29"/>
      <c r="O70" s="28"/>
      <c r="P70" s="28"/>
      <c r="S70" s="29"/>
      <c r="T70" s="29"/>
      <c r="U70" s="29"/>
      <c r="V70" s="28"/>
      <c r="W70" s="28"/>
      <c r="Z70" s="29"/>
      <c r="AA70" s="29"/>
      <c r="AB70" s="29"/>
      <c r="AC70" s="28"/>
      <c r="AD70" s="28"/>
      <c r="AG70" s="29"/>
      <c r="AH70" s="29"/>
      <c r="AI70" s="29"/>
      <c r="AJ70" s="26"/>
    </row>
    <row r="71" spans="5:36" s="27" customFormat="1" ht="15" customHeight="1">
      <c r="E71" s="28"/>
      <c r="F71" s="28"/>
      <c r="G71" s="28"/>
      <c r="H71" s="28"/>
      <c r="I71" s="28"/>
      <c r="L71" s="29"/>
      <c r="M71" s="29"/>
      <c r="N71" s="29"/>
      <c r="O71" s="28"/>
      <c r="P71" s="28"/>
      <c r="S71" s="29"/>
      <c r="T71" s="29"/>
      <c r="U71" s="29"/>
      <c r="V71" s="28"/>
      <c r="W71" s="28"/>
      <c r="Z71" s="29"/>
      <c r="AA71" s="29"/>
      <c r="AB71" s="29"/>
      <c r="AC71" s="28"/>
      <c r="AD71" s="28"/>
      <c r="AG71" s="29"/>
      <c r="AH71" s="29"/>
      <c r="AI71" s="29"/>
      <c r="AJ71" s="26"/>
    </row>
    <row r="72" spans="5:36" s="27" customFormat="1" ht="15" customHeight="1">
      <c r="E72" s="28"/>
      <c r="F72" s="28"/>
      <c r="G72" s="28"/>
      <c r="H72" s="28"/>
      <c r="I72" s="28"/>
      <c r="L72" s="29"/>
      <c r="M72" s="29"/>
      <c r="N72" s="29"/>
      <c r="O72" s="28"/>
      <c r="P72" s="28"/>
      <c r="S72" s="29"/>
      <c r="T72" s="29"/>
      <c r="U72" s="29"/>
      <c r="V72" s="28"/>
      <c r="W72" s="28"/>
      <c r="Z72" s="29"/>
      <c r="AA72" s="29"/>
      <c r="AB72" s="29"/>
      <c r="AC72" s="28"/>
      <c r="AD72" s="28"/>
      <c r="AG72" s="29"/>
      <c r="AH72" s="29"/>
      <c r="AI72" s="29"/>
      <c r="AJ72" s="26"/>
    </row>
    <row r="73" spans="5:36" s="27" customFormat="1" ht="15" customHeight="1">
      <c r="E73" s="28"/>
      <c r="F73" s="28"/>
      <c r="G73" s="28"/>
      <c r="H73" s="28"/>
      <c r="I73" s="28"/>
      <c r="L73" s="29"/>
      <c r="M73" s="29"/>
      <c r="N73" s="29"/>
      <c r="O73" s="28"/>
      <c r="P73" s="28"/>
      <c r="S73" s="29"/>
      <c r="T73" s="29"/>
      <c r="U73" s="29"/>
      <c r="V73" s="28"/>
      <c r="W73" s="28"/>
      <c r="Z73" s="29"/>
      <c r="AA73" s="29"/>
      <c r="AB73" s="29"/>
      <c r="AC73" s="28"/>
      <c r="AD73" s="28"/>
      <c r="AG73" s="29"/>
      <c r="AH73" s="29"/>
      <c r="AI73" s="29"/>
      <c r="AJ73" s="26"/>
    </row>
    <row r="74" spans="5:36" s="27" customFormat="1" ht="15" customHeight="1">
      <c r="E74" s="28"/>
      <c r="F74" s="28"/>
      <c r="G74" s="28"/>
      <c r="H74" s="28"/>
      <c r="I74" s="28"/>
      <c r="L74" s="29"/>
      <c r="M74" s="29"/>
      <c r="N74" s="29"/>
      <c r="O74" s="28"/>
      <c r="P74" s="28"/>
      <c r="S74" s="29"/>
      <c r="T74" s="29"/>
      <c r="U74" s="29"/>
      <c r="V74" s="28"/>
      <c r="W74" s="28"/>
      <c r="Z74" s="29"/>
      <c r="AA74" s="29"/>
      <c r="AB74" s="29"/>
      <c r="AC74" s="28"/>
      <c r="AD74" s="28"/>
      <c r="AG74" s="29"/>
      <c r="AH74" s="29"/>
      <c r="AI74" s="29"/>
      <c r="AJ74" s="26"/>
    </row>
    <row r="75" spans="5:36" s="27" customFormat="1" ht="15" customHeight="1">
      <c r="E75" s="28"/>
      <c r="F75" s="28"/>
      <c r="G75" s="28"/>
      <c r="H75" s="28"/>
      <c r="I75" s="28"/>
      <c r="L75" s="29"/>
      <c r="M75" s="29"/>
      <c r="N75" s="29"/>
      <c r="O75" s="28"/>
      <c r="P75" s="28"/>
      <c r="S75" s="29"/>
      <c r="T75" s="29"/>
      <c r="U75" s="29"/>
      <c r="V75" s="28"/>
      <c r="W75" s="28"/>
      <c r="Z75" s="29"/>
      <c r="AA75" s="29"/>
      <c r="AB75" s="29"/>
      <c r="AC75" s="28"/>
      <c r="AD75" s="28"/>
      <c r="AG75" s="29"/>
      <c r="AH75" s="29"/>
      <c r="AI75" s="29"/>
      <c r="AJ75" s="26"/>
    </row>
    <row r="76" spans="5:36" s="27" customFormat="1" ht="15" customHeight="1">
      <c r="E76" s="28"/>
      <c r="F76" s="28"/>
      <c r="G76" s="28"/>
      <c r="H76" s="28"/>
      <c r="I76" s="28"/>
      <c r="L76" s="29"/>
      <c r="M76" s="29"/>
      <c r="N76" s="29"/>
      <c r="O76" s="28"/>
      <c r="P76" s="28"/>
      <c r="S76" s="29"/>
      <c r="T76" s="29"/>
      <c r="U76" s="29"/>
      <c r="V76" s="28"/>
      <c r="W76" s="28"/>
      <c r="Z76" s="29"/>
      <c r="AA76" s="29"/>
      <c r="AB76" s="29"/>
      <c r="AC76" s="28"/>
      <c r="AD76" s="28"/>
      <c r="AG76" s="29"/>
      <c r="AH76" s="29"/>
      <c r="AI76" s="29"/>
      <c r="AJ76" s="26"/>
    </row>
    <row r="77" spans="5:36" s="27" customFormat="1" ht="15" customHeight="1">
      <c r="E77" s="28"/>
      <c r="F77" s="28"/>
      <c r="G77" s="28"/>
      <c r="H77" s="28"/>
      <c r="I77" s="28"/>
      <c r="L77" s="29"/>
      <c r="M77" s="29"/>
      <c r="N77" s="29"/>
      <c r="O77" s="28"/>
      <c r="P77" s="28"/>
      <c r="S77" s="29"/>
      <c r="T77" s="29"/>
      <c r="U77" s="29"/>
      <c r="V77" s="28"/>
      <c r="W77" s="28"/>
      <c r="Z77" s="29"/>
      <c r="AA77" s="29"/>
      <c r="AB77" s="29"/>
      <c r="AC77" s="28"/>
      <c r="AD77" s="28"/>
      <c r="AG77" s="29"/>
      <c r="AH77" s="29"/>
      <c r="AI77" s="29"/>
      <c r="AJ77" s="26"/>
    </row>
    <row r="78" spans="5:36" s="27" customFormat="1" ht="15" customHeight="1">
      <c r="E78" s="28"/>
      <c r="F78" s="28"/>
      <c r="G78" s="28"/>
      <c r="H78" s="28"/>
      <c r="I78" s="28"/>
      <c r="L78" s="29"/>
      <c r="M78" s="29"/>
      <c r="N78" s="29"/>
      <c r="O78" s="28"/>
      <c r="P78" s="28"/>
      <c r="S78" s="29"/>
      <c r="T78" s="29"/>
      <c r="U78" s="29"/>
      <c r="V78" s="28"/>
      <c r="W78" s="28"/>
      <c r="Z78" s="29"/>
      <c r="AA78" s="29"/>
      <c r="AB78" s="29"/>
      <c r="AC78" s="28"/>
      <c r="AD78" s="28"/>
      <c r="AG78" s="29"/>
      <c r="AH78" s="29"/>
      <c r="AI78" s="29"/>
      <c r="AJ78" s="26"/>
    </row>
    <row r="79" spans="5:36" s="27" customFormat="1" ht="15" customHeight="1">
      <c r="E79" s="28"/>
      <c r="F79" s="28"/>
      <c r="G79" s="28"/>
      <c r="H79" s="28"/>
      <c r="I79" s="28"/>
      <c r="L79" s="29"/>
      <c r="M79" s="29"/>
      <c r="N79" s="29"/>
      <c r="O79" s="28"/>
      <c r="P79" s="28"/>
      <c r="S79" s="29"/>
      <c r="T79" s="29"/>
      <c r="U79" s="29"/>
      <c r="V79" s="28"/>
      <c r="W79" s="28"/>
      <c r="Z79" s="29"/>
      <c r="AA79" s="29"/>
      <c r="AB79" s="29"/>
      <c r="AC79" s="28"/>
      <c r="AD79" s="28"/>
      <c r="AG79" s="29"/>
      <c r="AH79" s="29"/>
      <c r="AI79" s="29"/>
      <c r="AJ79" s="26"/>
    </row>
    <row r="80" spans="5:36" s="27" customFormat="1" ht="15" customHeight="1">
      <c r="E80" s="28"/>
      <c r="F80" s="28"/>
      <c r="G80" s="28"/>
      <c r="H80" s="28"/>
      <c r="I80" s="28"/>
      <c r="L80" s="29"/>
      <c r="M80" s="29"/>
      <c r="N80" s="29"/>
      <c r="O80" s="28"/>
      <c r="P80" s="28"/>
      <c r="S80" s="29"/>
      <c r="T80" s="29"/>
      <c r="U80" s="29"/>
      <c r="V80" s="28"/>
      <c r="W80" s="28"/>
      <c r="Z80" s="29"/>
      <c r="AA80" s="29"/>
      <c r="AB80" s="29"/>
      <c r="AC80" s="28"/>
      <c r="AD80" s="28"/>
      <c r="AG80" s="29"/>
      <c r="AH80" s="29"/>
      <c r="AI80" s="29"/>
      <c r="AJ80" s="26"/>
    </row>
    <row r="81" spans="5:36" s="27" customFormat="1" ht="15" customHeight="1">
      <c r="E81" s="28"/>
      <c r="F81" s="28"/>
      <c r="G81" s="28"/>
      <c r="H81" s="28"/>
      <c r="I81" s="28"/>
      <c r="L81" s="29"/>
      <c r="M81" s="29"/>
      <c r="N81" s="29"/>
      <c r="O81" s="28"/>
      <c r="P81" s="28"/>
      <c r="S81" s="29"/>
      <c r="T81" s="29"/>
      <c r="U81" s="29"/>
      <c r="V81" s="28"/>
      <c r="W81" s="28"/>
      <c r="Z81" s="29"/>
      <c r="AA81" s="29"/>
      <c r="AB81" s="29"/>
      <c r="AC81" s="28"/>
      <c r="AD81" s="28"/>
      <c r="AG81" s="29"/>
      <c r="AH81" s="29"/>
      <c r="AI81" s="29"/>
      <c r="AJ81" s="26"/>
    </row>
    <row r="82" spans="5:36" s="27" customFormat="1" ht="15" customHeight="1">
      <c r="E82" s="28"/>
      <c r="F82" s="28"/>
      <c r="G82" s="28"/>
      <c r="H82" s="28"/>
      <c r="I82" s="28"/>
      <c r="L82" s="29"/>
      <c r="M82" s="29"/>
      <c r="N82" s="29"/>
      <c r="O82" s="28"/>
      <c r="P82" s="28"/>
      <c r="S82" s="29"/>
      <c r="T82" s="29"/>
      <c r="U82" s="29"/>
      <c r="V82" s="28"/>
      <c r="W82" s="28"/>
      <c r="Z82" s="29"/>
      <c r="AA82" s="29"/>
      <c r="AB82" s="29"/>
      <c r="AC82" s="28"/>
      <c r="AD82" s="28"/>
      <c r="AG82" s="29"/>
      <c r="AH82" s="29"/>
      <c r="AI82" s="29"/>
      <c r="AJ82" s="26"/>
    </row>
    <row r="83" spans="5:36" s="27" customFormat="1" ht="15" customHeight="1">
      <c r="E83" s="28"/>
      <c r="F83" s="28"/>
      <c r="G83" s="28"/>
      <c r="H83" s="28"/>
      <c r="I83" s="28"/>
      <c r="L83" s="29"/>
      <c r="M83" s="29"/>
      <c r="N83" s="29"/>
      <c r="O83" s="28"/>
      <c r="P83" s="28"/>
      <c r="S83" s="29"/>
      <c r="T83" s="29"/>
      <c r="U83" s="29"/>
      <c r="V83" s="28"/>
      <c r="W83" s="28"/>
      <c r="Z83" s="29"/>
      <c r="AA83" s="29"/>
      <c r="AB83" s="29"/>
      <c r="AC83" s="28"/>
      <c r="AD83" s="28"/>
      <c r="AG83" s="29"/>
      <c r="AH83" s="29"/>
      <c r="AI83" s="29"/>
      <c r="AJ83" s="26"/>
    </row>
    <row r="84" spans="5:36" s="27" customFormat="1" ht="15" customHeight="1">
      <c r="E84" s="28"/>
      <c r="F84" s="28"/>
      <c r="G84" s="28"/>
      <c r="H84" s="28"/>
      <c r="I84" s="28"/>
      <c r="L84" s="29"/>
      <c r="M84" s="29"/>
      <c r="N84" s="29"/>
      <c r="O84" s="28"/>
      <c r="P84" s="28"/>
      <c r="S84" s="29"/>
      <c r="T84" s="29"/>
      <c r="U84" s="29"/>
      <c r="V84" s="28"/>
      <c r="W84" s="28"/>
      <c r="Z84" s="29"/>
      <c r="AA84" s="29"/>
      <c r="AB84" s="29"/>
      <c r="AC84" s="28"/>
      <c r="AD84" s="28"/>
      <c r="AG84" s="29"/>
      <c r="AH84" s="29"/>
      <c r="AI84" s="29"/>
      <c r="AJ84" s="26"/>
    </row>
    <row r="85" spans="5:36" s="27" customFormat="1" ht="15" customHeight="1">
      <c r="E85" s="28"/>
      <c r="F85" s="28"/>
      <c r="G85" s="28"/>
      <c r="H85" s="28"/>
      <c r="I85" s="28"/>
      <c r="L85" s="29"/>
      <c r="M85" s="29"/>
      <c r="N85" s="29"/>
      <c r="O85" s="28"/>
      <c r="P85" s="28"/>
      <c r="S85" s="29"/>
      <c r="T85" s="29"/>
      <c r="U85" s="29"/>
      <c r="V85" s="28"/>
      <c r="W85" s="28"/>
      <c r="Z85" s="29"/>
      <c r="AA85" s="29"/>
      <c r="AB85" s="29"/>
      <c r="AC85" s="28"/>
      <c r="AD85" s="28"/>
      <c r="AG85" s="29"/>
      <c r="AH85" s="29"/>
      <c r="AI85" s="29"/>
      <c r="AJ85" s="26"/>
    </row>
    <row r="86" spans="5:36" s="27" customFormat="1" ht="15" customHeight="1">
      <c r="E86" s="28"/>
      <c r="F86" s="28"/>
      <c r="G86" s="28"/>
      <c r="H86" s="28"/>
      <c r="I86" s="28"/>
      <c r="L86" s="29"/>
      <c r="M86" s="29"/>
      <c r="N86" s="29"/>
      <c r="O86" s="28"/>
      <c r="P86" s="28"/>
      <c r="S86" s="29"/>
      <c r="T86" s="29"/>
      <c r="U86" s="29"/>
      <c r="V86" s="28"/>
      <c r="W86" s="28"/>
      <c r="Z86" s="29"/>
      <c r="AA86" s="29"/>
      <c r="AB86" s="29"/>
      <c r="AC86" s="28"/>
      <c r="AD86" s="28"/>
      <c r="AG86" s="29"/>
      <c r="AH86" s="29"/>
      <c r="AI86" s="29"/>
      <c r="AJ86" s="26"/>
    </row>
    <row r="87" spans="5:36" s="27" customFormat="1" ht="15" customHeight="1">
      <c r="E87" s="28"/>
      <c r="F87" s="28"/>
      <c r="G87" s="28"/>
      <c r="H87" s="28"/>
      <c r="I87" s="28"/>
      <c r="L87" s="29"/>
      <c r="M87" s="29"/>
      <c r="N87" s="29"/>
      <c r="O87" s="28"/>
      <c r="P87" s="28"/>
      <c r="S87" s="29"/>
      <c r="T87" s="29"/>
      <c r="U87" s="29"/>
      <c r="V87" s="28"/>
      <c r="W87" s="28"/>
      <c r="Z87" s="29"/>
      <c r="AA87" s="29"/>
      <c r="AB87" s="29"/>
      <c r="AC87" s="28"/>
      <c r="AD87" s="28"/>
      <c r="AG87" s="29"/>
      <c r="AH87" s="29"/>
      <c r="AI87" s="29"/>
      <c r="AJ87" s="26"/>
    </row>
    <row r="88" spans="5:36" s="27" customFormat="1" ht="15" customHeight="1">
      <c r="E88" s="28"/>
      <c r="F88" s="28"/>
      <c r="G88" s="28"/>
      <c r="H88" s="28"/>
      <c r="I88" s="28"/>
      <c r="L88" s="29"/>
      <c r="M88" s="29"/>
      <c r="N88" s="29"/>
      <c r="O88" s="28"/>
      <c r="P88" s="28"/>
      <c r="S88" s="29"/>
      <c r="T88" s="29"/>
      <c r="U88" s="29"/>
      <c r="V88" s="28"/>
      <c r="W88" s="28"/>
      <c r="Z88" s="29"/>
      <c r="AA88" s="29"/>
      <c r="AB88" s="29"/>
      <c r="AC88" s="28"/>
      <c r="AD88" s="28"/>
      <c r="AG88" s="29"/>
      <c r="AH88" s="29"/>
      <c r="AI88" s="29"/>
      <c r="AJ88" s="26"/>
    </row>
    <row r="89" spans="5:36" s="27" customFormat="1" ht="15" customHeight="1">
      <c r="E89" s="28"/>
      <c r="F89" s="28"/>
      <c r="G89" s="28"/>
      <c r="H89" s="28"/>
      <c r="I89" s="28"/>
      <c r="L89" s="29"/>
      <c r="M89" s="29"/>
      <c r="N89" s="29"/>
      <c r="O89" s="28"/>
      <c r="P89" s="28"/>
      <c r="S89" s="29"/>
      <c r="T89" s="29"/>
      <c r="U89" s="29"/>
      <c r="V89" s="28"/>
      <c r="W89" s="28"/>
      <c r="Z89" s="29"/>
      <c r="AA89" s="29"/>
      <c r="AB89" s="29"/>
      <c r="AC89" s="28"/>
      <c r="AD89" s="28"/>
      <c r="AG89" s="29"/>
      <c r="AH89" s="29"/>
      <c r="AI89" s="29"/>
      <c r="AJ89" s="26"/>
    </row>
    <row r="90" spans="5:36" s="27" customFormat="1" ht="15" customHeight="1">
      <c r="E90" s="28"/>
      <c r="F90" s="28"/>
      <c r="G90" s="28"/>
      <c r="H90" s="28"/>
      <c r="I90" s="28"/>
      <c r="L90" s="29"/>
      <c r="M90" s="29"/>
      <c r="N90" s="29"/>
      <c r="O90" s="28"/>
      <c r="P90" s="28"/>
      <c r="S90" s="29"/>
      <c r="T90" s="29"/>
      <c r="U90" s="29"/>
      <c r="V90" s="28"/>
      <c r="W90" s="28"/>
      <c r="Z90" s="29"/>
      <c r="AA90" s="29"/>
      <c r="AB90" s="29"/>
      <c r="AC90" s="28"/>
      <c r="AD90" s="28"/>
      <c r="AG90" s="29"/>
      <c r="AH90" s="29"/>
      <c r="AI90" s="29"/>
      <c r="AJ90" s="26"/>
    </row>
    <row r="91" spans="5:36" s="27" customFormat="1" ht="15" customHeight="1">
      <c r="E91" s="28"/>
      <c r="F91" s="28"/>
      <c r="G91" s="28"/>
      <c r="H91" s="28"/>
      <c r="I91" s="28"/>
      <c r="L91" s="29"/>
      <c r="M91" s="29"/>
      <c r="N91" s="29"/>
      <c r="O91" s="28"/>
      <c r="P91" s="28"/>
      <c r="S91" s="29"/>
      <c r="T91" s="29"/>
      <c r="U91" s="29"/>
      <c r="V91" s="28"/>
      <c r="W91" s="28"/>
      <c r="Z91" s="29"/>
      <c r="AA91" s="29"/>
      <c r="AB91" s="29"/>
      <c r="AC91" s="28"/>
      <c r="AD91" s="28"/>
      <c r="AG91" s="29"/>
      <c r="AH91" s="29"/>
      <c r="AI91" s="29"/>
      <c r="AJ91" s="26"/>
    </row>
    <row r="92" spans="5:36" s="27" customFormat="1" ht="15" customHeight="1">
      <c r="E92" s="28"/>
      <c r="F92" s="28"/>
      <c r="G92" s="28"/>
      <c r="H92" s="28"/>
      <c r="I92" s="28"/>
      <c r="L92" s="29"/>
      <c r="M92" s="29"/>
      <c r="N92" s="29"/>
      <c r="O92" s="28"/>
      <c r="P92" s="28"/>
      <c r="S92" s="29"/>
      <c r="T92" s="29"/>
      <c r="U92" s="29"/>
      <c r="V92" s="28"/>
      <c r="W92" s="28"/>
      <c r="Z92" s="29"/>
      <c r="AA92" s="29"/>
      <c r="AB92" s="29"/>
      <c r="AC92" s="28"/>
      <c r="AD92" s="28"/>
      <c r="AG92" s="29"/>
      <c r="AH92" s="29"/>
      <c r="AI92" s="29"/>
      <c r="AJ92" s="26"/>
    </row>
    <row r="93" spans="5:36" s="27" customFormat="1" ht="15" customHeight="1">
      <c r="E93" s="28"/>
      <c r="F93" s="28"/>
      <c r="G93" s="28"/>
      <c r="H93" s="28"/>
      <c r="I93" s="28"/>
      <c r="L93" s="29"/>
      <c r="M93" s="29"/>
      <c r="N93" s="29"/>
      <c r="O93" s="28"/>
      <c r="P93" s="28"/>
      <c r="S93" s="29"/>
      <c r="T93" s="29"/>
      <c r="U93" s="29"/>
      <c r="V93" s="28"/>
      <c r="W93" s="28"/>
      <c r="Z93" s="29"/>
      <c r="AA93" s="29"/>
      <c r="AB93" s="29"/>
      <c r="AC93" s="28"/>
      <c r="AD93" s="28"/>
      <c r="AG93" s="29"/>
      <c r="AH93" s="29"/>
      <c r="AI93" s="29"/>
      <c r="AJ93" s="26"/>
    </row>
    <row r="94" spans="5:36" s="27" customFormat="1" ht="15" customHeight="1">
      <c r="E94" s="28"/>
      <c r="F94" s="28"/>
      <c r="G94" s="28"/>
      <c r="H94" s="28"/>
      <c r="I94" s="28"/>
      <c r="L94" s="29"/>
      <c r="M94" s="29"/>
      <c r="N94" s="29"/>
      <c r="O94" s="28"/>
      <c r="P94" s="28"/>
      <c r="S94" s="29"/>
      <c r="T94" s="29"/>
      <c r="U94" s="29"/>
      <c r="V94" s="28"/>
      <c r="W94" s="28"/>
      <c r="Z94" s="29"/>
      <c r="AA94" s="29"/>
      <c r="AB94" s="29"/>
      <c r="AC94" s="28"/>
      <c r="AD94" s="28"/>
      <c r="AG94" s="29"/>
      <c r="AH94" s="29"/>
      <c r="AI94" s="29"/>
      <c r="AJ94" s="26"/>
    </row>
    <row r="95" spans="5:36" s="27" customFormat="1" ht="15" customHeight="1">
      <c r="E95" s="28"/>
      <c r="F95" s="28"/>
      <c r="G95" s="28"/>
      <c r="H95" s="28"/>
      <c r="I95" s="28"/>
      <c r="L95" s="29"/>
      <c r="M95" s="29"/>
      <c r="N95" s="29"/>
      <c r="O95" s="28"/>
      <c r="P95" s="28"/>
      <c r="S95" s="29"/>
      <c r="T95" s="29"/>
      <c r="U95" s="29"/>
      <c r="V95" s="28"/>
      <c r="W95" s="28"/>
      <c r="Z95" s="29"/>
      <c r="AA95" s="29"/>
      <c r="AB95" s="29"/>
      <c r="AC95" s="28"/>
      <c r="AD95" s="28"/>
      <c r="AG95" s="29"/>
      <c r="AH95" s="29"/>
      <c r="AI95" s="29"/>
      <c r="AJ95" s="26"/>
    </row>
    <row r="96" spans="5:36" s="27" customFormat="1" ht="15" customHeight="1">
      <c r="E96" s="28"/>
      <c r="F96" s="28"/>
      <c r="G96" s="28"/>
      <c r="H96" s="28"/>
      <c r="I96" s="28"/>
      <c r="L96" s="29"/>
      <c r="M96" s="29"/>
      <c r="N96" s="29"/>
      <c r="O96" s="28"/>
      <c r="P96" s="28"/>
      <c r="S96" s="29"/>
      <c r="T96" s="29"/>
      <c r="U96" s="29"/>
      <c r="V96" s="28"/>
      <c r="W96" s="28"/>
      <c r="Z96" s="29"/>
      <c r="AA96" s="29"/>
      <c r="AB96" s="29"/>
      <c r="AC96" s="28"/>
      <c r="AD96" s="28"/>
      <c r="AG96" s="29"/>
      <c r="AH96" s="29"/>
      <c r="AI96" s="29"/>
      <c r="AJ96" s="26"/>
    </row>
    <row r="97" spans="5:36" s="27" customFormat="1" ht="15" customHeight="1">
      <c r="E97" s="28"/>
      <c r="F97" s="28"/>
      <c r="G97" s="28"/>
      <c r="H97" s="28"/>
      <c r="I97" s="28"/>
      <c r="L97" s="29"/>
      <c r="M97" s="29"/>
      <c r="N97" s="29"/>
      <c r="O97" s="28"/>
      <c r="P97" s="28"/>
      <c r="S97" s="29"/>
      <c r="T97" s="29"/>
      <c r="U97" s="29"/>
      <c r="V97" s="28"/>
      <c r="W97" s="28"/>
      <c r="Z97" s="29"/>
      <c r="AA97" s="29"/>
      <c r="AB97" s="29"/>
      <c r="AC97" s="28"/>
      <c r="AD97" s="28"/>
      <c r="AG97" s="29"/>
      <c r="AH97" s="29"/>
      <c r="AI97" s="29"/>
      <c r="AJ97" s="26"/>
    </row>
    <row r="98" spans="5:36" s="27" customFormat="1" ht="15" customHeight="1">
      <c r="E98" s="28"/>
      <c r="F98" s="28"/>
      <c r="G98" s="28"/>
      <c r="H98" s="28"/>
      <c r="I98" s="28"/>
      <c r="L98" s="29"/>
      <c r="M98" s="29"/>
      <c r="N98" s="29"/>
      <c r="O98" s="28"/>
      <c r="P98" s="28"/>
      <c r="S98" s="29"/>
      <c r="T98" s="29"/>
      <c r="U98" s="29"/>
      <c r="V98" s="28"/>
      <c r="W98" s="28"/>
      <c r="Z98" s="29"/>
      <c r="AA98" s="29"/>
      <c r="AB98" s="29"/>
      <c r="AC98" s="28"/>
      <c r="AD98" s="28"/>
      <c r="AG98" s="29"/>
      <c r="AH98" s="29"/>
      <c r="AI98" s="29"/>
      <c r="AJ98" s="26"/>
    </row>
    <row r="99" spans="5:36" s="27" customFormat="1" ht="15" customHeight="1">
      <c r="E99" s="28"/>
      <c r="F99" s="28"/>
      <c r="G99" s="28"/>
      <c r="H99" s="28"/>
      <c r="I99" s="28"/>
      <c r="L99" s="29"/>
      <c r="M99" s="29"/>
      <c r="N99" s="29"/>
      <c r="O99" s="28"/>
      <c r="P99" s="28"/>
      <c r="S99" s="29"/>
      <c r="T99" s="29"/>
      <c r="U99" s="29"/>
      <c r="V99" s="28"/>
      <c r="W99" s="28"/>
      <c r="Z99" s="29"/>
      <c r="AA99" s="29"/>
      <c r="AB99" s="29"/>
      <c r="AC99" s="28"/>
      <c r="AD99" s="28"/>
      <c r="AG99" s="29"/>
      <c r="AH99" s="29"/>
      <c r="AI99" s="29"/>
      <c r="AJ99" s="26"/>
    </row>
    <row r="100" spans="5:36" s="27" customFormat="1" ht="15" customHeight="1">
      <c r="E100" s="28"/>
      <c r="F100" s="28"/>
      <c r="G100" s="28"/>
      <c r="H100" s="28"/>
      <c r="I100" s="28"/>
      <c r="L100" s="29"/>
      <c r="M100" s="29"/>
      <c r="N100" s="29"/>
      <c r="O100" s="28"/>
      <c r="P100" s="28"/>
      <c r="S100" s="29"/>
      <c r="T100" s="29"/>
      <c r="U100" s="29"/>
      <c r="V100" s="28"/>
      <c r="W100" s="28"/>
      <c r="Z100" s="29"/>
      <c r="AA100" s="29"/>
      <c r="AB100" s="29"/>
      <c r="AC100" s="28"/>
      <c r="AD100" s="28"/>
      <c r="AG100" s="29"/>
      <c r="AH100" s="29"/>
      <c r="AI100" s="29"/>
      <c r="AJ100" s="26"/>
    </row>
    <row r="101" spans="5:36" s="27" customFormat="1" ht="15" customHeight="1">
      <c r="E101" s="28"/>
      <c r="F101" s="28"/>
      <c r="G101" s="28"/>
      <c r="H101" s="28"/>
      <c r="I101" s="28"/>
      <c r="L101" s="29"/>
      <c r="M101" s="29"/>
      <c r="N101" s="29"/>
      <c r="O101" s="28"/>
      <c r="P101" s="28"/>
      <c r="S101" s="29"/>
      <c r="T101" s="29"/>
      <c r="U101" s="29"/>
      <c r="V101" s="28"/>
      <c r="W101" s="28"/>
      <c r="Z101" s="29"/>
      <c r="AA101" s="29"/>
      <c r="AB101" s="29"/>
      <c r="AC101" s="28"/>
      <c r="AD101" s="28"/>
      <c r="AG101" s="29"/>
      <c r="AH101" s="29"/>
      <c r="AI101" s="29"/>
      <c r="AJ101" s="26"/>
    </row>
    <row r="102" spans="5:36" s="27" customFormat="1" ht="15" customHeight="1">
      <c r="E102" s="28"/>
      <c r="F102" s="28"/>
      <c r="G102" s="28"/>
      <c r="H102" s="28"/>
      <c r="I102" s="28"/>
      <c r="L102" s="29"/>
      <c r="M102" s="29"/>
      <c r="N102" s="29"/>
      <c r="O102" s="28"/>
      <c r="P102" s="28"/>
      <c r="S102" s="29"/>
      <c r="T102" s="29"/>
      <c r="U102" s="29"/>
      <c r="V102" s="28"/>
      <c r="W102" s="28"/>
      <c r="Z102" s="29"/>
      <c r="AA102" s="29"/>
      <c r="AB102" s="29"/>
      <c r="AC102" s="28"/>
      <c r="AD102" s="28"/>
      <c r="AG102" s="29"/>
      <c r="AH102" s="29"/>
      <c r="AI102" s="29"/>
      <c r="AJ102" s="26"/>
    </row>
    <row r="103" spans="5:36" s="27" customFormat="1" ht="15" customHeight="1">
      <c r="E103" s="28"/>
      <c r="F103" s="28"/>
      <c r="G103" s="28"/>
      <c r="H103" s="28"/>
      <c r="I103" s="28"/>
      <c r="L103" s="29"/>
      <c r="M103" s="29"/>
      <c r="N103" s="29"/>
      <c r="O103" s="28"/>
      <c r="P103" s="28"/>
      <c r="S103" s="29"/>
      <c r="T103" s="29"/>
      <c r="U103" s="29"/>
      <c r="V103" s="28"/>
      <c r="W103" s="28"/>
      <c r="Z103" s="29"/>
      <c r="AA103" s="29"/>
      <c r="AB103" s="29"/>
      <c r="AC103" s="28"/>
      <c r="AD103" s="28"/>
      <c r="AG103" s="29"/>
      <c r="AH103" s="29"/>
      <c r="AI103" s="29"/>
      <c r="AJ103" s="26"/>
    </row>
    <row r="104" spans="5:36" s="27" customFormat="1" ht="15" customHeight="1">
      <c r="E104" s="28"/>
      <c r="F104" s="28"/>
      <c r="G104" s="28"/>
      <c r="H104" s="28"/>
      <c r="I104" s="28"/>
      <c r="L104" s="29"/>
      <c r="M104" s="29"/>
      <c r="N104" s="29"/>
      <c r="O104" s="28"/>
      <c r="P104" s="28"/>
      <c r="S104" s="29"/>
      <c r="T104" s="29"/>
      <c r="U104" s="29"/>
      <c r="V104" s="28"/>
      <c r="W104" s="28"/>
      <c r="Z104" s="29"/>
      <c r="AA104" s="29"/>
      <c r="AB104" s="29"/>
      <c r="AC104" s="28"/>
      <c r="AD104" s="28"/>
      <c r="AG104" s="29"/>
      <c r="AH104" s="29"/>
      <c r="AI104" s="29"/>
      <c r="AJ104" s="26"/>
    </row>
    <row r="105" spans="5:36" s="27" customFormat="1" ht="15" customHeight="1">
      <c r="E105" s="28"/>
      <c r="F105" s="28"/>
      <c r="G105" s="28"/>
      <c r="H105" s="28"/>
      <c r="I105" s="28"/>
      <c r="L105" s="29"/>
      <c r="M105" s="29"/>
      <c r="N105" s="29"/>
      <c r="O105" s="28"/>
      <c r="P105" s="28"/>
      <c r="S105" s="29"/>
      <c r="T105" s="29"/>
      <c r="U105" s="29"/>
      <c r="V105" s="28"/>
      <c r="W105" s="28"/>
      <c r="Z105" s="29"/>
      <c r="AA105" s="29"/>
      <c r="AB105" s="29"/>
      <c r="AC105" s="28"/>
      <c r="AD105" s="28"/>
      <c r="AG105" s="29"/>
      <c r="AH105" s="29"/>
      <c r="AI105" s="29"/>
      <c r="AJ105" s="26"/>
    </row>
    <row r="106" spans="5:36" s="27" customFormat="1" ht="15" customHeight="1">
      <c r="E106" s="28"/>
      <c r="F106" s="28"/>
      <c r="G106" s="28"/>
      <c r="H106" s="28"/>
      <c r="I106" s="28"/>
      <c r="L106" s="29"/>
      <c r="M106" s="29"/>
      <c r="N106" s="29"/>
      <c r="O106" s="28"/>
      <c r="P106" s="28"/>
      <c r="S106" s="29"/>
      <c r="T106" s="29"/>
      <c r="U106" s="29"/>
      <c r="V106" s="28"/>
      <c r="W106" s="28"/>
      <c r="Z106" s="29"/>
      <c r="AA106" s="29"/>
      <c r="AB106" s="29"/>
      <c r="AC106" s="28"/>
      <c r="AD106" s="28"/>
      <c r="AG106" s="29"/>
      <c r="AH106" s="29"/>
      <c r="AI106" s="29"/>
      <c r="AJ106" s="26"/>
    </row>
    <row r="107" spans="5:36" s="27" customFormat="1" ht="15" customHeight="1">
      <c r="E107" s="28"/>
      <c r="F107" s="28"/>
      <c r="G107" s="28"/>
      <c r="H107" s="28"/>
      <c r="I107" s="28"/>
      <c r="L107" s="29"/>
      <c r="M107" s="29"/>
      <c r="N107" s="29"/>
      <c r="O107" s="28"/>
      <c r="P107" s="28"/>
      <c r="S107" s="29"/>
      <c r="T107" s="29"/>
      <c r="U107" s="29"/>
      <c r="V107" s="28"/>
      <c r="W107" s="28"/>
      <c r="Z107" s="29"/>
      <c r="AA107" s="29"/>
      <c r="AB107" s="29"/>
      <c r="AC107" s="28"/>
      <c r="AD107" s="28"/>
      <c r="AG107" s="29"/>
      <c r="AH107" s="29"/>
      <c r="AI107" s="29"/>
      <c r="AJ107" s="26"/>
    </row>
    <row r="108" spans="5:36" s="27" customFormat="1" ht="15" customHeight="1">
      <c r="E108" s="28"/>
      <c r="F108" s="28"/>
      <c r="G108" s="28"/>
      <c r="H108" s="28"/>
      <c r="I108" s="28"/>
      <c r="L108" s="29"/>
      <c r="M108" s="29"/>
      <c r="N108" s="29"/>
      <c r="O108" s="28"/>
      <c r="P108" s="28"/>
      <c r="S108" s="29"/>
      <c r="T108" s="29"/>
      <c r="U108" s="29"/>
      <c r="V108" s="28"/>
      <c r="W108" s="28"/>
      <c r="Z108" s="29"/>
      <c r="AA108" s="29"/>
      <c r="AB108" s="29"/>
      <c r="AC108" s="28"/>
      <c r="AD108" s="28"/>
      <c r="AG108" s="29"/>
      <c r="AH108" s="29"/>
      <c r="AI108" s="29"/>
      <c r="AJ108" s="26"/>
    </row>
    <row r="109" spans="5:36" s="27" customFormat="1" ht="15" customHeight="1">
      <c r="E109" s="28"/>
      <c r="F109" s="28"/>
      <c r="G109" s="28"/>
      <c r="H109" s="28"/>
      <c r="I109" s="28"/>
      <c r="L109" s="29"/>
      <c r="M109" s="29"/>
      <c r="N109" s="29"/>
      <c r="O109" s="28"/>
      <c r="P109" s="28"/>
      <c r="S109" s="29"/>
      <c r="T109" s="29"/>
      <c r="U109" s="29"/>
      <c r="V109" s="28"/>
      <c r="W109" s="28"/>
      <c r="Z109" s="29"/>
      <c r="AA109" s="29"/>
      <c r="AB109" s="29"/>
      <c r="AC109" s="28"/>
      <c r="AD109" s="28"/>
      <c r="AG109" s="29"/>
      <c r="AH109" s="29"/>
      <c r="AI109" s="29"/>
      <c r="AJ109" s="26"/>
    </row>
    <row r="110" spans="5:36" s="27" customFormat="1" ht="15" customHeight="1">
      <c r="E110" s="28"/>
      <c r="F110" s="28"/>
      <c r="G110" s="28"/>
      <c r="H110" s="28"/>
      <c r="I110" s="28"/>
      <c r="L110" s="29"/>
      <c r="M110" s="29"/>
      <c r="N110" s="29"/>
      <c r="O110" s="28"/>
      <c r="P110" s="28"/>
      <c r="S110" s="29"/>
      <c r="T110" s="29"/>
      <c r="U110" s="29"/>
      <c r="V110" s="28"/>
      <c r="W110" s="28"/>
      <c r="Z110" s="29"/>
      <c r="AA110" s="29"/>
      <c r="AB110" s="29"/>
      <c r="AC110" s="28"/>
      <c r="AD110" s="28"/>
      <c r="AG110" s="29"/>
      <c r="AH110" s="29"/>
      <c r="AI110" s="29"/>
      <c r="AJ110" s="26"/>
    </row>
    <row r="111" spans="5:36" s="27" customFormat="1" ht="15" customHeight="1">
      <c r="E111" s="28"/>
      <c r="F111" s="28"/>
      <c r="G111" s="28"/>
      <c r="H111" s="28"/>
      <c r="I111" s="28"/>
      <c r="L111" s="29"/>
      <c r="M111" s="29"/>
      <c r="N111" s="29"/>
      <c r="O111" s="28"/>
      <c r="P111" s="28"/>
      <c r="S111" s="29"/>
      <c r="T111" s="29"/>
      <c r="U111" s="29"/>
      <c r="V111" s="28"/>
      <c r="W111" s="28"/>
      <c r="Z111" s="29"/>
      <c r="AA111" s="29"/>
      <c r="AB111" s="29"/>
      <c r="AC111" s="28"/>
      <c r="AD111" s="28"/>
      <c r="AG111" s="29"/>
      <c r="AH111" s="29"/>
      <c r="AI111" s="29"/>
      <c r="AJ111" s="26"/>
    </row>
    <row r="112" spans="5:36" s="27" customFormat="1" ht="15" customHeight="1">
      <c r="E112" s="28"/>
      <c r="F112" s="28"/>
      <c r="G112" s="28"/>
      <c r="H112" s="28"/>
      <c r="I112" s="28"/>
      <c r="L112" s="29"/>
      <c r="M112" s="29"/>
      <c r="N112" s="29"/>
      <c r="O112" s="28"/>
      <c r="P112" s="28"/>
      <c r="S112" s="29"/>
      <c r="T112" s="29"/>
      <c r="U112" s="29"/>
      <c r="V112" s="28"/>
      <c r="W112" s="28"/>
      <c r="Z112" s="29"/>
      <c r="AA112" s="29"/>
      <c r="AB112" s="29"/>
      <c r="AC112" s="28"/>
      <c r="AD112" s="28"/>
      <c r="AG112" s="29"/>
      <c r="AH112" s="29"/>
      <c r="AI112" s="29"/>
      <c r="AJ112" s="26"/>
    </row>
    <row r="113" spans="5:36" s="27" customFormat="1" ht="15" customHeight="1">
      <c r="E113" s="28"/>
      <c r="F113" s="28"/>
      <c r="G113" s="28"/>
      <c r="H113" s="28"/>
      <c r="I113" s="28"/>
      <c r="L113" s="29"/>
      <c r="M113" s="29"/>
      <c r="N113" s="29"/>
      <c r="O113" s="28"/>
      <c r="P113" s="28"/>
      <c r="S113" s="29"/>
      <c r="T113" s="29"/>
      <c r="U113" s="29"/>
      <c r="V113" s="28"/>
      <c r="W113" s="28"/>
      <c r="Z113" s="29"/>
      <c r="AA113" s="29"/>
      <c r="AB113" s="29"/>
      <c r="AC113" s="28"/>
      <c r="AD113" s="28"/>
      <c r="AG113" s="29"/>
      <c r="AH113" s="29"/>
      <c r="AI113" s="29"/>
      <c r="AJ113" s="26"/>
    </row>
    <row r="114" spans="5:36" s="27" customFormat="1" ht="15" customHeight="1">
      <c r="E114" s="28"/>
      <c r="F114" s="28"/>
      <c r="G114" s="28"/>
      <c r="H114" s="28"/>
      <c r="I114" s="28"/>
      <c r="L114" s="29"/>
      <c r="M114" s="29"/>
      <c r="N114" s="29"/>
      <c r="O114" s="28"/>
      <c r="P114" s="28"/>
      <c r="S114" s="29"/>
      <c r="T114" s="29"/>
      <c r="U114" s="29"/>
      <c r="V114" s="28"/>
      <c r="W114" s="28"/>
      <c r="Z114" s="29"/>
      <c r="AA114" s="29"/>
      <c r="AB114" s="29"/>
      <c r="AC114" s="28"/>
      <c r="AD114" s="28"/>
      <c r="AG114" s="29"/>
      <c r="AH114" s="29"/>
      <c r="AI114" s="29"/>
      <c r="AJ114" s="26"/>
    </row>
    <row r="115" spans="5:36" s="27" customFormat="1" ht="15" customHeight="1">
      <c r="E115" s="28"/>
      <c r="F115" s="28"/>
      <c r="G115" s="28"/>
      <c r="H115" s="28"/>
      <c r="I115" s="28"/>
      <c r="L115" s="29"/>
      <c r="M115" s="29"/>
      <c r="N115" s="29"/>
      <c r="O115" s="28"/>
      <c r="P115" s="28"/>
      <c r="S115" s="29"/>
      <c r="T115" s="29"/>
      <c r="U115" s="29"/>
      <c r="V115" s="28"/>
      <c r="W115" s="28"/>
      <c r="Z115" s="29"/>
      <c r="AA115" s="29"/>
      <c r="AB115" s="29"/>
      <c r="AC115" s="28"/>
      <c r="AD115" s="28"/>
      <c r="AG115" s="29"/>
      <c r="AH115" s="29"/>
      <c r="AI115" s="29"/>
      <c r="AJ115" s="26"/>
    </row>
    <row r="116" spans="5:36" s="27" customFormat="1" ht="15" customHeight="1">
      <c r="E116" s="28"/>
      <c r="F116" s="28"/>
      <c r="G116" s="28"/>
      <c r="H116" s="28"/>
      <c r="I116" s="28"/>
      <c r="L116" s="29"/>
      <c r="M116" s="29"/>
      <c r="N116" s="29"/>
      <c r="O116" s="28"/>
      <c r="P116" s="28"/>
      <c r="S116" s="29"/>
      <c r="T116" s="29"/>
      <c r="U116" s="29"/>
      <c r="V116" s="28"/>
      <c r="W116" s="28"/>
      <c r="Z116" s="29"/>
      <c r="AA116" s="29"/>
      <c r="AB116" s="29"/>
      <c r="AC116" s="28"/>
      <c r="AD116" s="28"/>
      <c r="AG116" s="29"/>
      <c r="AH116" s="29"/>
      <c r="AI116" s="29"/>
      <c r="AJ116" s="26"/>
    </row>
    <row r="117" spans="5:36" s="27" customFormat="1" ht="15" customHeight="1">
      <c r="E117" s="28"/>
      <c r="F117" s="28"/>
      <c r="G117" s="28"/>
      <c r="H117" s="28"/>
      <c r="I117" s="28"/>
      <c r="L117" s="29"/>
      <c r="M117" s="29"/>
      <c r="N117" s="29"/>
      <c r="O117" s="28"/>
      <c r="P117" s="28"/>
      <c r="S117" s="29"/>
      <c r="T117" s="29"/>
      <c r="U117" s="29"/>
      <c r="V117" s="28"/>
      <c r="W117" s="28"/>
      <c r="Z117" s="29"/>
      <c r="AA117" s="29"/>
      <c r="AB117" s="29"/>
      <c r="AC117" s="28"/>
      <c r="AD117" s="28"/>
      <c r="AG117" s="29"/>
      <c r="AH117" s="29"/>
      <c r="AI117" s="29"/>
      <c r="AJ117" s="26"/>
    </row>
    <row r="118" spans="5:36" s="27" customFormat="1" ht="15" customHeight="1">
      <c r="E118" s="28"/>
      <c r="F118" s="28"/>
      <c r="G118" s="28"/>
      <c r="H118" s="28"/>
      <c r="I118" s="28"/>
      <c r="L118" s="29"/>
      <c r="M118" s="29"/>
      <c r="N118" s="29"/>
      <c r="O118" s="28"/>
      <c r="P118" s="28"/>
      <c r="S118" s="29"/>
      <c r="T118" s="29"/>
      <c r="U118" s="29"/>
      <c r="V118" s="28"/>
      <c r="W118" s="28"/>
      <c r="Z118" s="29"/>
      <c r="AA118" s="29"/>
      <c r="AB118" s="29"/>
      <c r="AC118" s="28"/>
      <c r="AD118" s="28"/>
      <c r="AG118" s="29"/>
      <c r="AH118" s="29"/>
      <c r="AI118" s="29"/>
      <c r="AJ118" s="26"/>
    </row>
    <row r="119" spans="5:36" s="27" customFormat="1" ht="15" customHeight="1">
      <c r="E119" s="28"/>
      <c r="F119" s="28"/>
      <c r="G119" s="28"/>
      <c r="H119" s="28"/>
      <c r="I119" s="28"/>
      <c r="L119" s="29"/>
      <c r="M119" s="29"/>
      <c r="N119" s="29"/>
      <c r="O119" s="28"/>
      <c r="P119" s="28"/>
      <c r="S119" s="29"/>
      <c r="T119" s="29"/>
      <c r="U119" s="29"/>
      <c r="V119" s="28"/>
      <c r="W119" s="28"/>
      <c r="Z119" s="29"/>
      <c r="AA119" s="29"/>
      <c r="AB119" s="29"/>
      <c r="AC119" s="28"/>
      <c r="AD119" s="28"/>
      <c r="AG119" s="29"/>
      <c r="AH119" s="29"/>
      <c r="AI119" s="29"/>
      <c r="AJ119" s="26"/>
    </row>
    <row r="120" spans="5:36" s="27" customFormat="1" ht="15" customHeight="1">
      <c r="E120" s="28"/>
      <c r="F120" s="28"/>
      <c r="G120" s="28"/>
      <c r="H120" s="28"/>
      <c r="I120" s="28"/>
      <c r="L120" s="29"/>
      <c r="M120" s="29"/>
      <c r="N120" s="29"/>
      <c r="O120" s="28"/>
      <c r="P120" s="28"/>
      <c r="S120" s="29"/>
      <c r="T120" s="29"/>
      <c r="U120" s="29"/>
      <c r="V120" s="28"/>
      <c r="W120" s="28"/>
      <c r="Z120" s="29"/>
      <c r="AA120" s="29"/>
      <c r="AB120" s="29"/>
      <c r="AC120" s="28"/>
      <c r="AD120" s="28"/>
      <c r="AG120" s="29"/>
      <c r="AH120" s="29"/>
      <c r="AI120" s="29"/>
      <c r="AJ120" s="26"/>
    </row>
    <row r="121" spans="5:36" s="27" customFormat="1" ht="15" customHeight="1">
      <c r="E121" s="28"/>
      <c r="F121" s="28"/>
      <c r="G121" s="28"/>
      <c r="H121" s="28"/>
      <c r="I121" s="28"/>
      <c r="L121" s="29"/>
      <c r="M121" s="29"/>
      <c r="N121" s="29"/>
      <c r="O121" s="28"/>
      <c r="P121" s="28"/>
      <c r="S121" s="29"/>
      <c r="T121" s="29"/>
      <c r="U121" s="29"/>
      <c r="V121" s="28"/>
      <c r="W121" s="28"/>
      <c r="Z121" s="29"/>
      <c r="AA121" s="29"/>
      <c r="AB121" s="29"/>
      <c r="AC121" s="28"/>
      <c r="AD121" s="28"/>
      <c r="AG121" s="29"/>
      <c r="AH121" s="29"/>
      <c r="AI121" s="29"/>
      <c r="AJ121" s="26"/>
    </row>
    <row r="122" spans="5:36" s="27" customFormat="1" ht="15" customHeight="1">
      <c r="E122" s="28"/>
      <c r="F122" s="28"/>
      <c r="G122" s="28"/>
      <c r="H122" s="28"/>
      <c r="I122" s="28"/>
      <c r="L122" s="29"/>
      <c r="M122" s="29"/>
      <c r="N122" s="29"/>
      <c r="O122" s="28"/>
      <c r="P122" s="28"/>
      <c r="S122" s="29"/>
      <c r="T122" s="29"/>
      <c r="U122" s="29"/>
      <c r="V122" s="28"/>
      <c r="W122" s="28"/>
      <c r="Z122" s="29"/>
      <c r="AA122" s="29"/>
      <c r="AB122" s="29"/>
      <c r="AC122" s="28"/>
      <c r="AD122" s="28"/>
      <c r="AG122" s="29"/>
      <c r="AH122" s="29"/>
      <c r="AI122" s="29"/>
      <c r="AJ122" s="26"/>
    </row>
    <row r="123" spans="5:36" s="27" customFormat="1" ht="15" customHeight="1">
      <c r="E123" s="28"/>
      <c r="F123" s="28"/>
      <c r="G123" s="28"/>
      <c r="H123" s="28"/>
      <c r="I123" s="28"/>
      <c r="L123" s="29"/>
      <c r="M123" s="29"/>
      <c r="N123" s="29"/>
      <c r="O123" s="28"/>
      <c r="P123" s="28"/>
      <c r="S123" s="29"/>
      <c r="T123" s="29"/>
      <c r="U123" s="29"/>
      <c r="V123" s="28"/>
      <c r="W123" s="28"/>
      <c r="Z123" s="29"/>
      <c r="AA123" s="29"/>
      <c r="AB123" s="29"/>
      <c r="AC123" s="28"/>
      <c r="AD123" s="28"/>
      <c r="AG123" s="29"/>
      <c r="AH123" s="29"/>
      <c r="AI123" s="29"/>
      <c r="AJ123" s="26"/>
    </row>
    <row r="124" spans="5:36" s="27" customFormat="1" ht="15" customHeight="1">
      <c r="E124" s="28"/>
      <c r="F124" s="28"/>
      <c r="G124" s="28"/>
      <c r="H124" s="28"/>
      <c r="I124" s="28"/>
      <c r="L124" s="29"/>
      <c r="M124" s="29"/>
      <c r="N124" s="29"/>
      <c r="O124" s="28"/>
      <c r="P124" s="28"/>
      <c r="S124" s="29"/>
      <c r="T124" s="29"/>
      <c r="U124" s="29"/>
      <c r="V124" s="28"/>
      <c r="W124" s="28"/>
      <c r="Z124" s="29"/>
      <c r="AA124" s="29"/>
      <c r="AB124" s="29"/>
      <c r="AC124" s="28"/>
      <c r="AD124" s="28"/>
      <c r="AG124" s="29"/>
      <c r="AH124" s="29"/>
      <c r="AI124" s="29"/>
      <c r="AJ124" s="26"/>
    </row>
    <row r="125" spans="5:36" s="27" customFormat="1" ht="15" customHeight="1">
      <c r="E125" s="28"/>
      <c r="F125" s="28"/>
      <c r="G125" s="28"/>
      <c r="H125" s="28"/>
      <c r="I125" s="28"/>
      <c r="L125" s="29"/>
      <c r="M125" s="29"/>
      <c r="N125" s="29"/>
      <c r="O125" s="28"/>
      <c r="P125" s="28"/>
      <c r="S125" s="29"/>
      <c r="T125" s="29"/>
      <c r="U125" s="29"/>
      <c r="V125" s="28"/>
      <c r="W125" s="28"/>
      <c r="Z125" s="29"/>
      <c r="AA125" s="29"/>
      <c r="AB125" s="29"/>
      <c r="AC125" s="28"/>
      <c r="AD125" s="28"/>
      <c r="AG125" s="29"/>
      <c r="AH125" s="29"/>
      <c r="AI125" s="29"/>
      <c r="AJ125" s="26"/>
    </row>
    <row r="126" spans="5:36" s="27" customFormat="1" ht="15" customHeight="1">
      <c r="E126" s="28"/>
      <c r="F126" s="28"/>
      <c r="G126" s="28"/>
      <c r="H126" s="28"/>
      <c r="I126" s="28"/>
      <c r="L126" s="29"/>
      <c r="M126" s="29"/>
      <c r="N126" s="29"/>
      <c r="O126" s="28"/>
      <c r="P126" s="28"/>
      <c r="S126" s="29"/>
      <c r="T126" s="29"/>
      <c r="U126" s="29"/>
      <c r="V126" s="28"/>
      <c r="W126" s="28"/>
      <c r="Z126" s="29"/>
      <c r="AA126" s="29"/>
      <c r="AB126" s="29"/>
      <c r="AC126" s="28"/>
      <c r="AD126" s="28"/>
      <c r="AG126" s="29"/>
      <c r="AH126" s="29"/>
      <c r="AI126" s="29"/>
      <c r="AJ126" s="26"/>
    </row>
    <row r="127" spans="5:36" s="27" customFormat="1" ht="15" customHeight="1">
      <c r="E127" s="28"/>
      <c r="F127" s="28"/>
      <c r="G127" s="28"/>
      <c r="H127" s="28"/>
      <c r="I127" s="28"/>
      <c r="L127" s="29"/>
      <c r="M127" s="29"/>
      <c r="N127" s="29"/>
      <c r="O127" s="28"/>
      <c r="P127" s="28"/>
      <c r="S127" s="29"/>
      <c r="T127" s="29"/>
      <c r="U127" s="29"/>
      <c r="V127" s="28"/>
      <c r="W127" s="28"/>
      <c r="Z127" s="29"/>
      <c r="AA127" s="29"/>
      <c r="AB127" s="29"/>
      <c r="AC127" s="28"/>
      <c r="AD127" s="28"/>
      <c r="AG127" s="29"/>
      <c r="AH127" s="29"/>
      <c r="AI127" s="29"/>
      <c r="AJ127" s="26"/>
    </row>
    <row r="128" spans="5:36" s="27" customFormat="1" ht="15" customHeight="1">
      <c r="E128" s="28"/>
      <c r="F128" s="28"/>
      <c r="G128" s="28"/>
      <c r="H128" s="28"/>
      <c r="I128" s="28"/>
      <c r="L128" s="29"/>
      <c r="M128" s="29"/>
      <c r="N128" s="29"/>
      <c r="O128" s="28"/>
      <c r="P128" s="28"/>
      <c r="S128" s="29"/>
      <c r="T128" s="29"/>
      <c r="U128" s="29"/>
      <c r="V128" s="28"/>
      <c r="W128" s="28"/>
      <c r="Z128" s="29"/>
      <c r="AA128" s="29"/>
      <c r="AB128" s="29"/>
      <c r="AC128" s="28"/>
      <c r="AD128" s="28"/>
      <c r="AG128" s="29"/>
      <c r="AH128" s="29"/>
      <c r="AI128" s="29"/>
      <c r="AJ128" s="26"/>
    </row>
    <row r="129" spans="5:36" s="27" customFormat="1" ht="15" customHeight="1">
      <c r="E129" s="28"/>
      <c r="F129" s="28"/>
      <c r="G129" s="28"/>
      <c r="H129" s="28"/>
      <c r="I129" s="28"/>
      <c r="L129" s="29"/>
      <c r="M129" s="29"/>
      <c r="N129" s="29"/>
      <c r="O129" s="28"/>
      <c r="P129" s="28"/>
      <c r="S129" s="29"/>
      <c r="T129" s="29"/>
      <c r="U129" s="29"/>
      <c r="V129" s="28"/>
      <c r="W129" s="28"/>
      <c r="Z129" s="29"/>
      <c r="AA129" s="29"/>
      <c r="AB129" s="29"/>
      <c r="AC129" s="28"/>
      <c r="AD129" s="28"/>
      <c r="AG129" s="29"/>
      <c r="AH129" s="29"/>
      <c r="AI129" s="29"/>
      <c r="AJ129" s="26"/>
    </row>
    <row r="130" spans="5:36" s="27" customFormat="1" ht="15" customHeight="1">
      <c r="E130" s="28"/>
      <c r="F130" s="28"/>
      <c r="G130" s="28"/>
      <c r="H130" s="28"/>
      <c r="I130" s="28"/>
      <c r="L130" s="29"/>
      <c r="M130" s="29"/>
      <c r="N130" s="29"/>
      <c r="O130" s="28"/>
      <c r="P130" s="28"/>
      <c r="S130" s="29"/>
      <c r="T130" s="29"/>
      <c r="U130" s="29"/>
      <c r="V130" s="28"/>
      <c r="W130" s="28"/>
      <c r="Z130" s="29"/>
      <c r="AA130" s="29"/>
      <c r="AB130" s="29"/>
      <c r="AC130" s="28"/>
      <c r="AD130" s="28"/>
      <c r="AG130" s="29"/>
      <c r="AH130" s="29"/>
      <c r="AI130" s="29"/>
      <c r="AJ130" s="26"/>
    </row>
    <row r="131" spans="5:36" s="27" customFormat="1" ht="15" customHeight="1">
      <c r="E131" s="28"/>
      <c r="F131" s="28"/>
      <c r="G131" s="28"/>
      <c r="H131" s="28"/>
      <c r="I131" s="28"/>
      <c r="L131" s="29"/>
      <c r="M131" s="29"/>
      <c r="N131" s="29"/>
      <c r="O131" s="28"/>
      <c r="P131" s="28"/>
      <c r="S131" s="29"/>
      <c r="T131" s="29"/>
      <c r="U131" s="29"/>
      <c r="V131" s="28"/>
      <c r="W131" s="28"/>
      <c r="Z131" s="29"/>
      <c r="AA131" s="29"/>
      <c r="AB131" s="29"/>
      <c r="AC131" s="28"/>
      <c r="AD131" s="28"/>
      <c r="AG131" s="29"/>
      <c r="AH131" s="29"/>
      <c r="AI131" s="29"/>
      <c r="AJ131" s="26"/>
    </row>
    <row r="132" spans="5:36" s="27" customFormat="1" ht="15" customHeight="1">
      <c r="E132" s="28"/>
      <c r="F132" s="28"/>
      <c r="G132" s="28"/>
      <c r="H132" s="28"/>
      <c r="I132" s="28"/>
      <c r="L132" s="29"/>
      <c r="M132" s="29"/>
      <c r="N132" s="29"/>
      <c r="O132" s="28"/>
      <c r="P132" s="28"/>
      <c r="S132" s="29"/>
      <c r="T132" s="29"/>
      <c r="U132" s="29"/>
      <c r="V132" s="28"/>
      <c r="W132" s="28"/>
      <c r="Z132" s="29"/>
      <c r="AA132" s="29"/>
      <c r="AB132" s="29"/>
      <c r="AC132" s="28"/>
      <c r="AD132" s="28"/>
      <c r="AG132" s="29"/>
      <c r="AH132" s="29"/>
      <c r="AI132" s="29"/>
      <c r="AJ132" s="26"/>
    </row>
    <row r="133" spans="5:36" s="27" customFormat="1" ht="15" customHeight="1">
      <c r="E133" s="28"/>
      <c r="F133" s="28"/>
      <c r="G133" s="28"/>
      <c r="H133" s="28"/>
      <c r="I133" s="28"/>
      <c r="L133" s="29"/>
      <c r="M133" s="29"/>
      <c r="N133" s="29"/>
      <c r="O133" s="28"/>
      <c r="P133" s="28"/>
      <c r="S133" s="29"/>
      <c r="T133" s="29"/>
      <c r="U133" s="29"/>
      <c r="V133" s="28"/>
      <c r="W133" s="28"/>
      <c r="Z133" s="29"/>
      <c r="AA133" s="29"/>
      <c r="AB133" s="29"/>
      <c r="AC133" s="28"/>
      <c r="AD133" s="28"/>
      <c r="AG133" s="29"/>
      <c r="AH133" s="29"/>
      <c r="AI133" s="29"/>
      <c r="AJ133" s="26"/>
    </row>
    <row r="134" spans="5:36" s="27" customFormat="1" ht="15" customHeight="1">
      <c r="E134" s="28"/>
      <c r="F134" s="28"/>
      <c r="G134" s="28"/>
      <c r="H134" s="28"/>
      <c r="I134" s="28"/>
      <c r="L134" s="29"/>
      <c r="M134" s="29"/>
      <c r="N134" s="29"/>
      <c r="O134" s="28"/>
      <c r="P134" s="28"/>
      <c r="S134" s="29"/>
      <c r="T134" s="29"/>
      <c r="U134" s="29"/>
      <c r="V134" s="28"/>
      <c r="W134" s="28"/>
      <c r="Z134" s="29"/>
      <c r="AA134" s="29"/>
      <c r="AB134" s="29"/>
      <c r="AC134" s="28"/>
      <c r="AD134" s="28"/>
      <c r="AG134" s="29"/>
      <c r="AH134" s="29"/>
      <c r="AI134" s="29"/>
      <c r="AJ134" s="26"/>
    </row>
    <row r="135" spans="5:36" s="27" customFormat="1" ht="15" customHeight="1">
      <c r="E135" s="28"/>
      <c r="F135" s="28"/>
      <c r="G135" s="28"/>
      <c r="H135" s="28"/>
      <c r="I135" s="28"/>
      <c r="L135" s="29"/>
      <c r="M135" s="29"/>
      <c r="N135" s="29"/>
      <c r="O135" s="28"/>
      <c r="P135" s="28"/>
      <c r="S135" s="29"/>
      <c r="T135" s="29"/>
      <c r="U135" s="29"/>
      <c r="V135" s="28"/>
      <c r="W135" s="28"/>
      <c r="Z135" s="29"/>
      <c r="AA135" s="29"/>
      <c r="AB135" s="29"/>
      <c r="AC135" s="28"/>
      <c r="AD135" s="28"/>
      <c r="AG135" s="29"/>
      <c r="AH135" s="29"/>
      <c r="AI135" s="29"/>
      <c r="AJ135" s="26"/>
    </row>
    <row r="136" spans="5:36" s="27" customFormat="1" ht="15" customHeight="1">
      <c r="E136" s="28"/>
      <c r="F136" s="28"/>
      <c r="G136" s="28"/>
      <c r="H136" s="28"/>
      <c r="I136" s="28"/>
      <c r="L136" s="29"/>
      <c r="M136" s="29"/>
      <c r="N136" s="29"/>
      <c r="O136" s="28"/>
      <c r="P136" s="28"/>
      <c r="S136" s="29"/>
      <c r="T136" s="29"/>
      <c r="U136" s="29"/>
      <c r="V136" s="28"/>
      <c r="W136" s="28"/>
      <c r="Z136" s="29"/>
      <c r="AA136" s="29"/>
      <c r="AB136" s="29"/>
      <c r="AC136" s="28"/>
      <c r="AD136" s="28"/>
      <c r="AG136" s="29"/>
      <c r="AH136" s="29"/>
      <c r="AI136" s="29"/>
      <c r="AJ136" s="26"/>
    </row>
    <row r="137" spans="5:36" s="27" customFormat="1" ht="15" customHeight="1">
      <c r="E137" s="28"/>
      <c r="F137" s="28"/>
      <c r="G137" s="28"/>
      <c r="H137" s="28"/>
      <c r="I137" s="28"/>
      <c r="L137" s="29"/>
      <c r="M137" s="29"/>
      <c r="N137" s="29"/>
      <c r="O137" s="28"/>
      <c r="P137" s="28"/>
      <c r="S137" s="29"/>
      <c r="T137" s="29"/>
      <c r="U137" s="29"/>
      <c r="V137" s="28"/>
      <c r="W137" s="28"/>
      <c r="Z137" s="29"/>
      <c r="AA137" s="29"/>
      <c r="AB137" s="29"/>
      <c r="AC137" s="28"/>
      <c r="AD137" s="28"/>
      <c r="AG137" s="29"/>
      <c r="AH137" s="29"/>
      <c r="AI137" s="29"/>
      <c r="AJ137" s="26"/>
    </row>
    <row r="138" spans="5:36" s="27" customFormat="1" ht="15" customHeight="1">
      <c r="E138" s="28"/>
      <c r="F138" s="28"/>
      <c r="G138" s="28"/>
      <c r="H138" s="28"/>
      <c r="I138" s="28"/>
      <c r="L138" s="29"/>
      <c r="M138" s="29"/>
      <c r="N138" s="29"/>
      <c r="O138" s="28"/>
      <c r="P138" s="28"/>
      <c r="S138" s="29"/>
      <c r="T138" s="29"/>
      <c r="U138" s="29"/>
      <c r="V138" s="28"/>
      <c r="W138" s="28"/>
      <c r="Z138" s="29"/>
      <c r="AA138" s="29"/>
      <c r="AB138" s="29"/>
      <c r="AC138" s="28"/>
      <c r="AD138" s="28"/>
      <c r="AG138" s="29"/>
      <c r="AH138" s="29"/>
      <c r="AI138" s="29"/>
      <c r="AJ138" s="26"/>
    </row>
    <row r="139" spans="5:36" s="27" customFormat="1" ht="15" customHeight="1">
      <c r="E139" s="28"/>
      <c r="F139" s="28"/>
      <c r="G139" s="28"/>
      <c r="H139" s="28"/>
      <c r="I139" s="28"/>
      <c r="L139" s="29"/>
      <c r="M139" s="29"/>
      <c r="N139" s="29"/>
      <c r="O139" s="28"/>
      <c r="P139" s="28"/>
      <c r="S139" s="29"/>
      <c r="T139" s="29"/>
      <c r="U139" s="29"/>
      <c r="V139" s="28"/>
      <c r="W139" s="28"/>
      <c r="Z139" s="29"/>
      <c r="AA139" s="29"/>
      <c r="AB139" s="29"/>
      <c r="AC139" s="28"/>
      <c r="AD139" s="28"/>
      <c r="AG139" s="29"/>
      <c r="AH139" s="29"/>
      <c r="AI139" s="29"/>
      <c r="AJ139" s="26"/>
    </row>
    <row r="140" spans="5:36" s="27" customFormat="1" ht="15" customHeight="1">
      <c r="E140" s="28"/>
      <c r="F140" s="28"/>
      <c r="G140" s="28"/>
      <c r="H140" s="28"/>
      <c r="I140" s="28"/>
      <c r="L140" s="29"/>
      <c r="M140" s="29"/>
      <c r="N140" s="29"/>
      <c r="O140" s="28"/>
      <c r="P140" s="28"/>
      <c r="S140" s="29"/>
      <c r="T140" s="29"/>
      <c r="U140" s="29"/>
      <c r="V140" s="28"/>
      <c r="W140" s="28"/>
      <c r="Z140" s="29"/>
      <c r="AA140" s="29"/>
      <c r="AB140" s="29"/>
      <c r="AC140" s="28"/>
      <c r="AD140" s="28"/>
      <c r="AG140" s="29"/>
      <c r="AH140" s="29"/>
      <c r="AI140" s="29"/>
      <c r="AJ140" s="26"/>
    </row>
    <row r="141" spans="5:36" s="27" customFormat="1" ht="15" customHeight="1">
      <c r="E141" s="28"/>
      <c r="F141" s="28"/>
      <c r="G141" s="28"/>
      <c r="H141" s="28"/>
      <c r="I141" s="28"/>
      <c r="L141" s="29"/>
      <c r="M141" s="29"/>
      <c r="N141" s="29"/>
      <c r="O141" s="28"/>
      <c r="P141" s="28"/>
      <c r="S141" s="29"/>
      <c r="T141" s="29"/>
      <c r="U141" s="29"/>
      <c r="V141" s="28"/>
      <c r="W141" s="28"/>
      <c r="Z141" s="29"/>
      <c r="AA141" s="29"/>
      <c r="AB141" s="29"/>
      <c r="AC141" s="28"/>
      <c r="AD141" s="28"/>
      <c r="AG141" s="29"/>
      <c r="AH141" s="29"/>
      <c r="AI141" s="29"/>
      <c r="AJ141" s="26"/>
    </row>
    <row r="142" spans="5:36" s="27" customFormat="1" ht="15" customHeight="1">
      <c r="E142" s="28"/>
      <c r="F142" s="28"/>
      <c r="G142" s="28"/>
      <c r="H142" s="28"/>
      <c r="I142" s="28"/>
      <c r="L142" s="29"/>
      <c r="M142" s="29"/>
      <c r="N142" s="29"/>
      <c r="O142" s="28"/>
      <c r="P142" s="28"/>
      <c r="S142" s="29"/>
      <c r="T142" s="29"/>
      <c r="U142" s="29"/>
      <c r="V142" s="28"/>
      <c r="W142" s="28"/>
      <c r="Z142" s="29"/>
      <c r="AA142" s="29"/>
      <c r="AB142" s="29"/>
      <c r="AC142" s="28"/>
      <c r="AD142" s="28"/>
      <c r="AG142" s="29"/>
      <c r="AH142" s="29"/>
      <c r="AI142" s="29"/>
      <c r="AJ142" s="26"/>
    </row>
    <row r="143" spans="5:36" s="27" customFormat="1" ht="15" customHeight="1">
      <c r="E143" s="28"/>
      <c r="F143" s="28"/>
      <c r="G143" s="28"/>
      <c r="H143" s="28"/>
      <c r="I143" s="28"/>
      <c r="L143" s="29"/>
      <c r="M143" s="29"/>
      <c r="N143" s="29"/>
      <c r="O143" s="28"/>
      <c r="P143" s="28"/>
      <c r="S143" s="29"/>
      <c r="T143" s="29"/>
      <c r="U143" s="29"/>
      <c r="V143" s="28"/>
      <c r="W143" s="28"/>
      <c r="Z143" s="29"/>
      <c r="AA143" s="29"/>
      <c r="AB143" s="29"/>
      <c r="AC143" s="28"/>
      <c r="AD143" s="28"/>
      <c r="AG143" s="29"/>
      <c r="AH143" s="29"/>
      <c r="AI143" s="29"/>
      <c r="AJ143" s="26"/>
    </row>
    <row r="144" spans="5:36" s="27" customFormat="1" ht="15" customHeight="1">
      <c r="E144" s="28"/>
      <c r="F144" s="28"/>
      <c r="G144" s="28"/>
      <c r="H144" s="28"/>
      <c r="I144" s="28"/>
      <c r="L144" s="29"/>
      <c r="M144" s="29"/>
      <c r="N144" s="29"/>
      <c r="O144" s="28"/>
      <c r="P144" s="28"/>
      <c r="S144" s="29"/>
      <c r="T144" s="29"/>
      <c r="U144" s="29"/>
      <c r="V144" s="28"/>
      <c r="W144" s="28"/>
      <c r="Z144" s="29"/>
      <c r="AA144" s="29"/>
      <c r="AB144" s="29"/>
      <c r="AC144" s="28"/>
      <c r="AD144" s="28"/>
      <c r="AG144" s="29"/>
      <c r="AH144" s="29"/>
      <c r="AI144" s="29"/>
      <c r="AJ144" s="26"/>
    </row>
    <row r="145" spans="5:36" s="27" customFormat="1" ht="15" customHeight="1">
      <c r="E145" s="28"/>
      <c r="F145" s="28"/>
      <c r="G145" s="28"/>
      <c r="H145" s="28"/>
      <c r="I145" s="28"/>
      <c r="L145" s="29"/>
      <c r="M145" s="29"/>
      <c r="N145" s="29"/>
      <c r="O145" s="28"/>
      <c r="P145" s="28"/>
      <c r="S145" s="29"/>
      <c r="T145" s="29"/>
      <c r="U145" s="29"/>
      <c r="V145" s="28"/>
      <c r="W145" s="28"/>
      <c r="Z145" s="29"/>
      <c r="AA145" s="29"/>
      <c r="AB145" s="29"/>
      <c r="AC145" s="28"/>
      <c r="AD145" s="28"/>
      <c r="AG145" s="29"/>
      <c r="AH145" s="29"/>
      <c r="AI145" s="29"/>
      <c r="AJ145" s="26"/>
    </row>
    <row r="146" spans="5:36" s="27" customFormat="1" ht="15" customHeight="1">
      <c r="E146" s="28"/>
      <c r="F146" s="28"/>
      <c r="G146" s="28"/>
      <c r="H146" s="28"/>
      <c r="I146" s="28"/>
      <c r="L146" s="29"/>
      <c r="M146" s="29"/>
      <c r="N146" s="29"/>
      <c r="O146" s="28"/>
      <c r="P146" s="28"/>
      <c r="S146" s="29"/>
      <c r="T146" s="29"/>
      <c r="U146" s="29"/>
      <c r="V146" s="28"/>
      <c r="W146" s="28"/>
      <c r="Z146" s="29"/>
      <c r="AA146" s="29"/>
      <c r="AB146" s="29"/>
      <c r="AC146" s="28"/>
      <c r="AD146" s="28"/>
      <c r="AG146" s="29"/>
      <c r="AH146" s="29"/>
      <c r="AI146" s="29"/>
      <c r="AJ146" s="26"/>
    </row>
    <row r="147" spans="5:36" s="27" customFormat="1" ht="15" customHeight="1">
      <c r="E147" s="28"/>
      <c r="F147" s="28"/>
      <c r="G147" s="28"/>
      <c r="H147" s="28"/>
      <c r="I147" s="28"/>
      <c r="L147" s="29"/>
      <c r="M147" s="29"/>
      <c r="N147" s="29"/>
      <c r="O147" s="28"/>
      <c r="P147" s="28"/>
      <c r="S147" s="29"/>
      <c r="T147" s="29"/>
      <c r="U147" s="29"/>
      <c r="V147" s="28"/>
      <c r="W147" s="28"/>
      <c r="Z147" s="29"/>
      <c r="AA147" s="29"/>
      <c r="AB147" s="29"/>
      <c r="AC147" s="28"/>
      <c r="AD147" s="28"/>
      <c r="AG147" s="29"/>
      <c r="AH147" s="29"/>
      <c r="AI147" s="29"/>
      <c r="AJ147" s="26"/>
    </row>
    <row r="148" spans="5:36" s="27" customFormat="1" ht="15" customHeight="1">
      <c r="E148" s="28"/>
      <c r="F148" s="28"/>
      <c r="G148" s="28"/>
      <c r="H148" s="28"/>
      <c r="I148" s="28"/>
      <c r="L148" s="29"/>
      <c r="M148" s="29"/>
      <c r="N148" s="29"/>
      <c r="O148" s="28"/>
      <c r="P148" s="28"/>
      <c r="S148" s="29"/>
      <c r="T148" s="29"/>
      <c r="U148" s="29"/>
      <c r="V148" s="28"/>
      <c r="W148" s="28"/>
      <c r="Z148" s="29"/>
      <c r="AA148" s="29"/>
      <c r="AB148" s="29"/>
      <c r="AC148" s="28"/>
      <c r="AD148" s="28"/>
      <c r="AG148" s="29"/>
      <c r="AH148" s="29"/>
      <c r="AI148" s="29"/>
      <c r="AJ148" s="26"/>
    </row>
    <row r="149" spans="5:36" s="27" customFormat="1" ht="15" customHeight="1">
      <c r="E149" s="28"/>
      <c r="F149" s="28"/>
      <c r="G149" s="28"/>
      <c r="H149" s="28"/>
      <c r="I149" s="28"/>
      <c r="L149" s="29"/>
      <c r="M149" s="29"/>
      <c r="N149" s="29"/>
      <c r="O149" s="28"/>
      <c r="P149" s="28"/>
      <c r="S149" s="29"/>
      <c r="T149" s="29"/>
      <c r="U149" s="29"/>
      <c r="V149" s="28"/>
      <c r="W149" s="28"/>
      <c r="Z149" s="29"/>
      <c r="AA149" s="29"/>
      <c r="AB149" s="29"/>
      <c r="AC149" s="28"/>
      <c r="AD149" s="28"/>
      <c r="AG149" s="29"/>
      <c r="AH149" s="29"/>
      <c r="AI149" s="29"/>
      <c r="AJ149" s="26"/>
    </row>
    <row r="150" spans="5:36" s="27" customFormat="1" ht="15" customHeight="1">
      <c r="E150" s="28"/>
      <c r="F150" s="28"/>
      <c r="G150" s="28"/>
      <c r="H150" s="28"/>
      <c r="I150" s="28"/>
      <c r="L150" s="29"/>
      <c r="M150" s="29"/>
      <c r="N150" s="29"/>
      <c r="O150" s="28"/>
      <c r="P150" s="28"/>
      <c r="S150" s="29"/>
      <c r="T150" s="29"/>
      <c r="U150" s="29"/>
      <c r="V150" s="28"/>
      <c r="W150" s="28"/>
      <c r="Z150" s="29"/>
      <c r="AA150" s="29"/>
      <c r="AB150" s="29"/>
      <c r="AC150" s="28"/>
      <c r="AD150" s="28"/>
      <c r="AG150" s="29"/>
      <c r="AH150" s="29"/>
      <c r="AI150" s="29"/>
      <c r="AJ150" s="26"/>
    </row>
    <row r="151" spans="5:36" s="27" customFormat="1" ht="15" customHeight="1">
      <c r="E151" s="28"/>
      <c r="F151" s="28"/>
      <c r="G151" s="28"/>
      <c r="H151" s="28"/>
      <c r="I151" s="28"/>
      <c r="L151" s="29"/>
      <c r="M151" s="29"/>
      <c r="N151" s="29"/>
      <c r="O151" s="28"/>
      <c r="P151" s="28"/>
      <c r="S151" s="29"/>
      <c r="T151" s="29"/>
      <c r="U151" s="29"/>
      <c r="V151" s="28"/>
      <c r="W151" s="28"/>
      <c r="Z151" s="29"/>
      <c r="AA151" s="29"/>
      <c r="AB151" s="29"/>
      <c r="AC151" s="28"/>
      <c r="AD151" s="28"/>
      <c r="AG151" s="29"/>
      <c r="AH151" s="29"/>
      <c r="AI151" s="29"/>
      <c r="AJ151" s="26"/>
    </row>
    <row r="152" spans="5:36" s="27" customFormat="1" ht="15" customHeight="1">
      <c r="E152" s="28"/>
      <c r="F152" s="28"/>
      <c r="G152" s="28"/>
      <c r="H152" s="28"/>
      <c r="I152" s="28"/>
      <c r="L152" s="29"/>
      <c r="M152" s="29"/>
      <c r="N152" s="29"/>
      <c r="O152" s="28"/>
      <c r="P152" s="28"/>
      <c r="S152" s="29"/>
      <c r="T152" s="29"/>
      <c r="U152" s="29"/>
      <c r="V152" s="28"/>
      <c r="W152" s="28"/>
      <c r="Z152" s="29"/>
      <c r="AA152" s="29"/>
      <c r="AB152" s="29"/>
      <c r="AC152" s="28"/>
      <c r="AD152" s="28"/>
      <c r="AG152" s="29"/>
      <c r="AH152" s="29"/>
      <c r="AI152" s="29"/>
      <c r="AJ152" s="26"/>
    </row>
    <row r="153" spans="5:36" s="27" customFormat="1" ht="15" customHeight="1">
      <c r="E153" s="28"/>
      <c r="F153" s="28"/>
      <c r="G153" s="28"/>
      <c r="H153" s="28"/>
      <c r="I153" s="28"/>
      <c r="L153" s="29"/>
      <c r="M153" s="29"/>
      <c r="N153" s="29"/>
      <c r="O153" s="28"/>
      <c r="P153" s="28"/>
      <c r="S153" s="29"/>
      <c r="T153" s="29"/>
      <c r="U153" s="29"/>
      <c r="V153" s="28"/>
      <c r="W153" s="28"/>
      <c r="Z153" s="29"/>
      <c r="AA153" s="29"/>
      <c r="AB153" s="29"/>
      <c r="AC153" s="28"/>
      <c r="AD153" s="28"/>
      <c r="AG153" s="29"/>
      <c r="AH153" s="29"/>
      <c r="AI153" s="29"/>
      <c r="AJ153" s="26"/>
    </row>
    <row r="154" spans="5:36" s="27" customFormat="1" ht="15" customHeight="1">
      <c r="E154" s="28"/>
      <c r="F154" s="28"/>
      <c r="G154" s="28"/>
      <c r="H154" s="28"/>
      <c r="I154" s="28"/>
      <c r="L154" s="29"/>
      <c r="M154" s="29"/>
      <c r="N154" s="29"/>
      <c r="O154" s="28"/>
      <c r="P154" s="28"/>
      <c r="S154" s="29"/>
      <c r="T154" s="29"/>
      <c r="U154" s="29"/>
      <c r="V154" s="28"/>
      <c r="W154" s="28"/>
      <c r="Z154" s="29"/>
      <c r="AA154" s="29"/>
      <c r="AB154" s="29"/>
      <c r="AC154" s="28"/>
      <c r="AD154" s="28"/>
      <c r="AG154" s="29"/>
      <c r="AH154" s="29"/>
      <c r="AI154" s="29"/>
      <c r="AJ154" s="26"/>
    </row>
    <row r="155" spans="5:36" s="27" customFormat="1" ht="15" customHeight="1">
      <c r="E155" s="28"/>
      <c r="F155" s="28"/>
      <c r="G155" s="28"/>
      <c r="H155" s="28"/>
      <c r="I155" s="28"/>
      <c r="L155" s="29"/>
      <c r="M155" s="29"/>
      <c r="N155" s="29"/>
      <c r="O155" s="28"/>
      <c r="P155" s="28"/>
      <c r="S155" s="29"/>
      <c r="T155" s="29"/>
      <c r="U155" s="29"/>
      <c r="V155" s="28"/>
      <c r="W155" s="28"/>
      <c r="Z155" s="29"/>
      <c r="AA155" s="29"/>
      <c r="AB155" s="29"/>
      <c r="AC155" s="28"/>
      <c r="AD155" s="28"/>
      <c r="AG155" s="29"/>
      <c r="AH155" s="29"/>
      <c r="AI155" s="29"/>
      <c r="AJ155" s="26"/>
    </row>
    <row r="156" spans="5:36" s="27" customFormat="1" ht="15" customHeight="1">
      <c r="E156" s="28"/>
      <c r="F156" s="28"/>
      <c r="G156" s="28"/>
      <c r="H156" s="28"/>
      <c r="I156" s="28"/>
      <c r="L156" s="29"/>
      <c r="M156" s="29"/>
      <c r="N156" s="29"/>
      <c r="O156" s="28"/>
      <c r="P156" s="28"/>
      <c r="S156" s="29"/>
      <c r="T156" s="29"/>
      <c r="U156" s="29"/>
      <c r="V156" s="28"/>
      <c r="W156" s="28"/>
      <c r="Z156" s="29"/>
      <c r="AA156" s="29"/>
      <c r="AB156" s="29"/>
      <c r="AC156" s="28"/>
      <c r="AD156" s="28"/>
      <c r="AG156" s="29"/>
      <c r="AH156" s="29"/>
      <c r="AI156" s="29"/>
      <c r="AJ156" s="26"/>
    </row>
    <row r="157" spans="5:36" s="27" customFormat="1" ht="15" customHeight="1">
      <c r="E157" s="28"/>
      <c r="F157" s="28"/>
      <c r="G157" s="28"/>
      <c r="H157" s="28"/>
      <c r="I157" s="28"/>
      <c r="L157" s="29"/>
      <c r="M157" s="29"/>
      <c r="N157" s="29"/>
      <c r="O157" s="28"/>
      <c r="P157" s="28"/>
      <c r="S157" s="29"/>
      <c r="T157" s="29"/>
      <c r="U157" s="29"/>
      <c r="V157" s="28"/>
      <c r="W157" s="28"/>
      <c r="Z157" s="29"/>
      <c r="AA157" s="29"/>
      <c r="AB157" s="29"/>
      <c r="AC157" s="28"/>
      <c r="AD157" s="28"/>
      <c r="AG157" s="29"/>
      <c r="AH157" s="29"/>
      <c r="AI157" s="29"/>
      <c r="AJ157" s="26"/>
    </row>
    <row r="158" spans="5:36" s="27" customFormat="1" ht="15" customHeight="1">
      <c r="E158" s="28"/>
      <c r="F158" s="28"/>
      <c r="G158" s="28"/>
      <c r="H158" s="28"/>
      <c r="I158" s="28"/>
      <c r="L158" s="29"/>
      <c r="M158" s="29"/>
      <c r="N158" s="29"/>
      <c r="O158" s="28"/>
      <c r="P158" s="28"/>
      <c r="S158" s="29"/>
      <c r="T158" s="29"/>
      <c r="U158" s="29"/>
      <c r="V158" s="28"/>
      <c r="W158" s="28"/>
      <c r="Z158" s="29"/>
      <c r="AA158" s="29"/>
      <c r="AB158" s="29"/>
      <c r="AC158" s="28"/>
      <c r="AD158" s="28"/>
      <c r="AG158" s="29"/>
      <c r="AH158" s="29"/>
      <c r="AI158" s="29"/>
      <c r="AJ158" s="26"/>
    </row>
    <row r="159" spans="5:36" s="27" customFormat="1" ht="15" customHeight="1">
      <c r="E159" s="28"/>
      <c r="F159" s="28"/>
      <c r="G159" s="28"/>
      <c r="H159" s="28"/>
      <c r="I159" s="28"/>
      <c r="L159" s="29"/>
      <c r="M159" s="29"/>
      <c r="N159" s="29"/>
      <c r="O159" s="28"/>
      <c r="P159" s="28"/>
      <c r="S159" s="29"/>
      <c r="T159" s="29"/>
      <c r="U159" s="29"/>
      <c r="V159" s="28"/>
      <c r="W159" s="28"/>
      <c r="Z159" s="29"/>
      <c r="AA159" s="29"/>
      <c r="AB159" s="29"/>
      <c r="AC159" s="28"/>
      <c r="AD159" s="28"/>
      <c r="AG159" s="29"/>
      <c r="AH159" s="29"/>
      <c r="AI159" s="29"/>
      <c r="AJ159" s="26"/>
    </row>
    <row r="160" spans="5:36" s="27" customFormat="1" ht="15" customHeight="1">
      <c r="E160" s="28"/>
      <c r="F160" s="28"/>
      <c r="G160" s="28"/>
      <c r="H160" s="28"/>
      <c r="I160" s="28"/>
      <c r="L160" s="29"/>
      <c r="M160" s="29"/>
      <c r="N160" s="29"/>
      <c r="O160" s="28"/>
      <c r="P160" s="28"/>
      <c r="S160" s="29"/>
      <c r="T160" s="29"/>
      <c r="U160" s="29"/>
      <c r="V160" s="28"/>
      <c r="W160" s="28"/>
      <c r="Z160" s="29"/>
      <c r="AA160" s="29"/>
      <c r="AB160" s="29"/>
      <c r="AC160" s="28"/>
      <c r="AD160" s="28"/>
      <c r="AG160" s="29"/>
      <c r="AH160" s="29"/>
      <c r="AI160" s="29"/>
      <c r="AJ160" s="26"/>
    </row>
    <row r="161" spans="5:36" s="27" customFormat="1" ht="15" customHeight="1">
      <c r="E161" s="28"/>
      <c r="F161" s="28"/>
      <c r="G161" s="28"/>
      <c r="H161" s="28"/>
      <c r="I161" s="28"/>
      <c r="L161" s="29"/>
      <c r="M161" s="29"/>
      <c r="N161" s="29"/>
      <c r="O161" s="28"/>
      <c r="P161" s="28"/>
      <c r="S161" s="29"/>
      <c r="T161" s="29"/>
      <c r="U161" s="29"/>
      <c r="V161" s="28"/>
      <c r="W161" s="28"/>
      <c r="Z161" s="29"/>
      <c r="AA161" s="29"/>
      <c r="AB161" s="29"/>
      <c r="AC161" s="28"/>
      <c r="AD161" s="28"/>
      <c r="AG161" s="29"/>
      <c r="AH161" s="29"/>
      <c r="AI161" s="29"/>
      <c r="AJ161" s="26"/>
    </row>
    <row r="162" spans="5:36" s="27" customFormat="1" ht="15" customHeight="1">
      <c r="E162" s="28"/>
      <c r="F162" s="28"/>
      <c r="G162" s="28"/>
      <c r="H162" s="28"/>
      <c r="I162" s="28"/>
      <c r="L162" s="29"/>
      <c r="M162" s="29"/>
      <c r="N162" s="29"/>
      <c r="O162" s="28"/>
      <c r="P162" s="28"/>
      <c r="S162" s="29"/>
      <c r="T162" s="29"/>
      <c r="U162" s="29"/>
      <c r="V162" s="28"/>
      <c r="W162" s="28"/>
      <c r="Z162" s="29"/>
      <c r="AA162" s="29"/>
      <c r="AB162" s="29"/>
      <c r="AC162" s="28"/>
      <c r="AD162" s="28"/>
      <c r="AG162" s="29"/>
      <c r="AH162" s="29"/>
      <c r="AI162" s="29"/>
      <c r="AJ162" s="26"/>
    </row>
    <row r="163" spans="5:36" s="27" customFormat="1" ht="15" customHeight="1">
      <c r="E163" s="28"/>
      <c r="F163" s="28"/>
      <c r="G163" s="28"/>
      <c r="H163" s="28"/>
      <c r="I163" s="28"/>
      <c r="L163" s="29"/>
      <c r="M163" s="29"/>
      <c r="N163" s="29"/>
      <c r="O163" s="28"/>
      <c r="P163" s="28"/>
      <c r="S163" s="29"/>
      <c r="T163" s="29"/>
      <c r="U163" s="29"/>
      <c r="V163" s="28"/>
      <c r="W163" s="28"/>
      <c r="Z163" s="29"/>
      <c r="AA163" s="29"/>
      <c r="AB163" s="29"/>
      <c r="AC163" s="28"/>
      <c r="AD163" s="28"/>
      <c r="AG163" s="29"/>
      <c r="AH163" s="29"/>
      <c r="AI163" s="29"/>
      <c r="AJ163" s="26"/>
    </row>
    <row r="164" spans="5:36" s="27" customFormat="1" ht="15" customHeight="1">
      <c r="E164" s="28"/>
      <c r="F164" s="28"/>
      <c r="G164" s="28"/>
      <c r="H164" s="28"/>
      <c r="I164" s="28"/>
      <c r="L164" s="29"/>
      <c r="M164" s="29"/>
      <c r="N164" s="29"/>
      <c r="O164" s="28"/>
      <c r="P164" s="28"/>
      <c r="S164" s="29"/>
      <c r="T164" s="29"/>
      <c r="U164" s="29"/>
      <c r="V164" s="28"/>
      <c r="W164" s="28"/>
      <c r="Z164" s="29"/>
      <c r="AA164" s="29"/>
      <c r="AB164" s="29"/>
      <c r="AC164" s="28"/>
      <c r="AD164" s="28"/>
      <c r="AG164" s="29"/>
      <c r="AH164" s="29"/>
      <c r="AI164" s="29"/>
      <c r="AJ164" s="26"/>
    </row>
    <row r="165" spans="5:36" s="27" customFormat="1" ht="15" customHeight="1">
      <c r="E165" s="28"/>
      <c r="F165" s="28"/>
      <c r="G165" s="28"/>
      <c r="H165" s="28"/>
      <c r="I165" s="28"/>
      <c r="L165" s="29"/>
      <c r="M165" s="29"/>
      <c r="N165" s="29"/>
      <c r="O165" s="28"/>
      <c r="P165" s="28"/>
      <c r="S165" s="29"/>
      <c r="T165" s="29"/>
      <c r="U165" s="29"/>
      <c r="V165" s="28"/>
      <c r="W165" s="28"/>
      <c r="Z165" s="29"/>
      <c r="AA165" s="29"/>
      <c r="AB165" s="29"/>
      <c r="AC165" s="28"/>
      <c r="AD165" s="28"/>
      <c r="AG165" s="29"/>
      <c r="AH165" s="29"/>
      <c r="AI165" s="29"/>
      <c r="AJ165" s="26"/>
    </row>
    <row r="166" spans="5:36" s="27" customFormat="1" ht="15" customHeight="1">
      <c r="E166" s="28"/>
      <c r="F166" s="28"/>
      <c r="G166" s="28"/>
      <c r="H166" s="28"/>
      <c r="I166" s="28"/>
      <c r="L166" s="29"/>
      <c r="M166" s="29"/>
      <c r="N166" s="29"/>
      <c r="O166" s="28"/>
      <c r="P166" s="28"/>
      <c r="S166" s="29"/>
      <c r="T166" s="29"/>
      <c r="U166" s="29"/>
      <c r="V166" s="28"/>
      <c r="W166" s="28"/>
      <c r="Z166" s="29"/>
      <c r="AA166" s="29"/>
      <c r="AB166" s="29"/>
      <c r="AC166" s="28"/>
      <c r="AD166" s="28"/>
      <c r="AG166" s="29"/>
      <c r="AH166" s="29"/>
      <c r="AI166" s="29"/>
      <c r="AJ166" s="26"/>
    </row>
    <row r="167" spans="5:36" s="27" customFormat="1" ht="15" customHeight="1">
      <c r="E167" s="28"/>
      <c r="F167" s="28"/>
      <c r="G167" s="28"/>
      <c r="H167" s="28"/>
      <c r="I167" s="28"/>
      <c r="L167" s="29"/>
      <c r="M167" s="29"/>
      <c r="N167" s="29"/>
      <c r="O167" s="28"/>
      <c r="P167" s="28"/>
      <c r="S167" s="29"/>
      <c r="T167" s="29"/>
      <c r="U167" s="29"/>
      <c r="V167" s="28"/>
      <c r="W167" s="28"/>
      <c r="Z167" s="29"/>
      <c r="AA167" s="29"/>
      <c r="AB167" s="29"/>
      <c r="AC167" s="28"/>
      <c r="AD167" s="28"/>
      <c r="AG167" s="29"/>
      <c r="AH167" s="29"/>
      <c r="AI167" s="29"/>
      <c r="AJ167" s="26"/>
    </row>
    <row r="168" spans="5:36" s="27" customFormat="1" ht="15" customHeight="1">
      <c r="E168" s="28"/>
      <c r="F168" s="28"/>
      <c r="G168" s="28"/>
      <c r="H168" s="28"/>
      <c r="I168" s="28"/>
      <c r="L168" s="29"/>
      <c r="M168" s="29"/>
      <c r="N168" s="29"/>
      <c r="O168" s="28"/>
      <c r="P168" s="28"/>
      <c r="S168" s="29"/>
      <c r="T168" s="29"/>
      <c r="U168" s="29"/>
      <c r="V168" s="28"/>
      <c r="W168" s="28"/>
      <c r="Z168" s="29"/>
      <c r="AA168" s="29"/>
      <c r="AB168" s="29"/>
      <c r="AC168" s="28"/>
      <c r="AD168" s="28"/>
      <c r="AG168" s="29"/>
      <c r="AH168" s="29"/>
      <c r="AI168" s="29"/>
      <c r="AJ168" s="26"/>
    </row>
    <row r="169" spans="5:36" s="27" customFormat="1" ht="15" customHeight="1">
      <c r="E169" s="28"/>
      <c r="F169" s="28"/>
      <c r="G169" s="28"/>
      <c r="H169" s="28"/>
      <c r="I169" s="28"/>
      <c r="L169" s="29"/>
      <c r="M169" s="29"/>
      <c r="N169" s="29"/>
      <c r="O169" s="28"/>
      <c r="P169" s="28"/>
      <c r="S169" s="29"/>
      <c r="T169" s="29"/>
      <c r="U169" s="29"/>
      <c r="V169" s="28"/>
      <c r="W169" s="28"/>
      <c r="Z169" s="29"/>
      <c r="AA169" s="29"/>
      <c r="AB169" s="29"/>
      <c r="AC169" s="28"/>
      <c r="AD169" s="28"/>
      <c r="AG169" s="29"/>
      <c r="AH169" s="29"/>
      <c r="AI169" s="29"/>
      <c r="AJ169" s="26"/>
    </row>
    <row r="170" spans="5:36" s="27" customFormat="1" ht="15" customHeight="1">
      <c r="E170" s="28"/>
      <c r="F170" s="28"/>
      <c r="G170" s="28"/>
      <c r="H170" s="28"/>
      <c r="I170" s="28"/>
      <c r="L170" s="29"/>
      <c r="M170" s="29"/>
      <c r="N170" s="29"/>
      <c r="O170" s="28"/>
      <c r="P170" s="28"/>
      <c r="S170" s="29"/>
      <c r="T170" s="29"/>
      <c r="U170" s="29"/>
      <c r="V170" s="28"/>
      <c r="W170" s="28"/>
      <c r="Z170" s="29"/>
      <c r="AA170" s="29"/>
      <c r="AB170" s="29"/>
      <c r="AC170" s="28"/>
      <c r="AD170" s="28"/>
      <c r="AG170" s="29"/>
      <c r="AH170" s="29"/>
      <c r="AI170" s="29"/>
      <c r="AJ170" s="26"/>
    </row>
    <row r="171" spans="5:36" s="27" customFormat="1" ht="15" customHeight="1">
      <c r="E171" s="28"/>
      <c r="F171" s="28"/>
      <c r="G171" s="28"/>
      <c r="H171" s="28"/>
      <c r="I171" s="28"/>
      <c r="L171" s="29"/>
      <c r="M171" s="29"/>
      <c r="N171" s="29"/>
      <c r="O171" s="28"/>
      <c r="P171" s="28"/>
      <c r="S171" s="29"/>
      <c r="T171" s="29"/>
      <c r="U171" s="29"/>
      <c r="V171" s="28"/>
      <c r="W171" s="28"/>
      <c r="Z171" s="29"/>
      <c r="AA171" s="29"/>
      <c r="AB171" s="29"/>
      <c r="AC171" s="28"/>
      <c r="AD171" s="28"/>
      <c r="AG171" s="29"/>
      <c r="AH171" s="29"/>
      <c r="AI171" s="29"/>
      <c r="AJ171" s="26"/>
    </row>
    <row r="172" spans="5:36" s="27" customFormat="1" ht="15" customHeight="1">
      <c r="E172" s="28"/>
      <c r="F172" s="28"/>
      <c r="G172" s="28"/>
      <c r="H172" s="28"/>
      <c r="I172" s="28"/>
      <c r="L172" s="29"/>
      <c r="M172" s="29"/>
      <c r="N172" s="29"/>
      <c r="O172" s="28"/>
      <c r="P172" s="28"/>
      <c r="S172" s="29"/>
      <c r="T172" s="29"/>
      <c r="U172" s="29"/>
      <c r="V172" s="28"/>
      <c r="W172" s="28"/>
      <c r="Z172" s="29"/>
      <c r="AA172" s="29"/>
      <c r="AB172" s="29"/>
      <c r="AC172" s="28"/>
      <c r="AD172" s="28"/>
      <c r="AG172" s="29"/>
      <c r="AH172" s="29"/>
      <c r="AI172" s="29"/>
      <c r="AJ172" s="26"/>
    </row>
    <row r="173" spans="5:36" s="27" customFormat="1" ht="15" customHeight="1">
      <c r="E173" s="28"/>
      <c r="F173" s="28"/>
      <c r="G173" s="28"/>
      <c r="H173" s="28"/>
      <c r="I173" s="28"/>
      <c r="L173" s="29"/>
      <c r="M173" s="29"/>
      <c r="N173" s="29"/>
      <c r="O173" s="28"/>
      <c r="P173" s="28"/>
      <c r="S173" s="29"/>
      <c r="T173" s="29"/>
      <c r="U173" s="29"/>
      <c r="V173" s="28"/>
      <c r="W173" s="28"/>
      <c r="Z173" s="29"/>
      <c r="AA173" s="29"/>
      <c r="AB173" s="29"/>
      <c r="AC173" s="28"/>
      <c r="AD173" s="28"/>
      <c r="AG173" s="29"/>
      <c r="AH173" s="29"/>
      <c r="AI173" s="29"/>
      <c r="AJ173" s="26"/>
    </row>
    <row r="174" spans="5:36" s="27" customFormat="1" ht="15" customHeight="1">
      <c r="E174" s="28"/>
      <c r="F174" s="28"/>
      <c r="G174" s="28"/>
      <c r="H174" s="28"/>
      <c r="I174" s="28"/>
      <c r="L174" s="29"/>
      <c r="M174" s="29"/>
      <c r="N174" s="29"/>
      <c r="O174" s="28"/>
      <c r="P174" s="28"/>
      <c r="S174" s="29"/>
      <c r="T174" s="29"/>
      <c r="U174" s="29"/>
      <c r="V174" s="28"/>
      <c r="W174" s="28"/>
      <c r="Z174" s="29"/>
      <c r="AA174" s="29"/>
      <c r="AB174" s="29"/>
      <c r="AC174" s="28"/>
      <c r="AD174" s="28"/>
      <c r="AG174" s="29"/>
      <c r="AH174" s="29"/>
      <c r="AI174" s="29"/>
      <c r="AJ174" s="26"/>
    </row>
    <row r="175" spans="5:36" s="27" customFormat="1" ht="15" customHeight="1">
      <c r="E175" s="28"/>
      <c r="F175" s="28"/>
      <c r="G175" s="28"/>
      <c r="H175" s="28"/>
      <c r="I175" s="28"/>
      <c r="L175" s="29"/>
      <c r="M175" s="29"/>
      <c r="N175" s="29"/>
      <c r="O175" s="28"/>
      <c r="P175" s="28"/>
      <c r="S175" s="29"/>
      <c r="T175" s="29"/>
      <c r="U175" s="29"/>
      <c r="V175" s="28"/>
      <c r="W175" s="28"/>
      <c r="Z175" s="29"/>
      <c r="AA175" s="29"/>
      <c r="AB175" s="29"/>
      <c r="AC175" s="28"/>
      <c r="AD175" s="28"/>
      <c r="AG175" s="29"/>
      <c r="AH175" s="29"/>
      <c r="AI175" s="29"/>
      <c r="AJ175" s="26"/>
    </row>
    <row r="176" spans="5:36" s="27" customFormat="1" ht="15" customHeight="1">
      <c r="E176" s="28"/>
      <c r="F176" s="28"/>
      <c r="G176" s="28"/>
      <c r="H176" s="28"/>
      <c r="I176" s="28"/>
      <c r="L176" s="29"/>
      <c r="M176" s="29"/>
      <c r="N176" s="29"/>
      <c r="O176" s="28"/>
      <c r="P176" s="28"/>
      <c r="S176" s="29"/>
      <c r="T176" s="29"/>
      <c r="U176" s="29"/>
      <c r="V176" s="28"/>
      <c r="W176" s="28"/>
      <c r="Z176" s="29"/>
      <c r="AA176" s="29"/>
      <c r="AB176" s="29"/>
      <c r="AC176" s="28"/>
      <c r="AD176" s="28"/>
      <c r="AG176" s="29"/>
      <c r="AH176" s="29"/>
      <c r="AI176" s="29"/>
      <c r="AJ176" s="26"/>
    </row>
    <row r="177" spans="5:36" s="27" customFormat="1" ht="15" customHeight="1">
      <c r="E177" s="28"/>
      <c r="F177" s="28"/>
      <c r="G177" s="28"/>
      <c r="H177" s="28"/>
      <c r="I177" s="28"/>
      <c r="L177" s="29"/>
      <c r="M177" s="29"/>
      <c r="N177" s="29"/>
      <c r="O177" s="28"/>
      <c r="P177" s="28"/>
      <c r="S177" s="29"/>
      <c r="T177" s="29"/>
      <c r="U177" s="29"/>
      <c r="V177" s="28"/>
      <c r="W177" s="28"/>
      <c r="Z177" s="29"/>
      <c r="AA177" s="29"/>
      <c r="AB177" s="29"/>
      <c r="AC177" s="28"/>
      <c r="AD177" s="28"/>
      <c r="AG177" s="29"/>
      <c r="AH177" s="29"/>
      <c r="AI177" s="29"/>
      <c r="AJ177" s="26"/>
    </row>
    <row r="178" spans="5:36" s="27" customFormat="1" ht="15" customHeight="1">
      <c r="E178" s="28"/>
      <c r="F178" s="28"/>
      <c r="G178" s="28"/>
      <c r="H178" s="28"/>
      <c r="I178" s="28"/>
      <c r="L178" s="29"/>
      <c r="M178" s="29"/>
      <c r="N178" s="29"/>
      <c r="O178" s="28"/>
      <c r="P178" s="28"/>
      <c r="S178" s="29"/>
      <c r="T178" s="29"/>
      <c r="U178" s="29"/>
      <c r="V178" s="28"/>
      <c r="W178" s="28"/>
      <c r="Z178" s="29"/>
      <c r="AA178" s="29"/>
      <c r="AB178" s="29"/>
      <c r="AC178" s="28"/>
      <c r="AD178" s="28"/>
      <c r="AG178" s="29"/>
      <c r="AH178" s="29"/>
      <c r="AI178" s="29"/>
      <c r="AJ178" s="26"/>
    </row>
    <row r="179" spans="5:36" s="27" customFormat="1" ht="15" customHeight="1">
      <c r="E179" s="28"/>
      <c r="F179" s="28"/>
      <c r="G179" s="28"/>
      <c r="H179" s="28"/>
      <c r="I179" s="28"/>
      <c r="L179" s="29"/>
      <c r="M179" s="29"/>
      <c r="N179" s="29"/>
      <c r="O179" s="28"/>
      <c r="P179" s="28"/>
      <c r="S179" s="29"/>
      <c r="T179" s="29"/>
      <c r="U179" s="29"/>
      <c r="V179" s="28"/>
      <c r="W179" s="28"/>
      <c r="Z179" s="29"/>
      <c r="AA179" s="29"/>
      <c r="AB179" s="29"/>
      <c r="AC179" s="28"/>
      <c r="AD179" s="28"/>
      <c r="AG179" s="29"/>
      <c r="AH179" s="29"/>
      <c r="AI179" s="29"/>
      <c r="AJ179" s="26"/>
    </row>
    <row r="180" spans="5:36" s="27" customFormat="1" ht="15" customHeight="1">
      <c r="E180" s="28"/>
      <c r="F180" s="28"/>
      <c r="G180" s="28"/>
      <c r="H180" s="28"/>
      <c r="I180" s="28"/>
      <c r="L180" s="29"/>
      <c r="M180" s="29"/>
      <c r="N180" s="29"/>
      <c r="O180" s="28"/>
      <c r="P180" s="28"/>
      <c r="S180" s="29"/>
      <c r="T180" s="29"/>
      <c r="U180" s="29"/>
      <c r="V180" s="28"/>
      <c r="W180" s="28"/>
      <c r="Z180" s="29"/>
      <c r="AA180" s="29"/>
      <c r="AB180" s="29"/>
      <c r="AC180" s="28"/>
      <c r="AD180" s="28"/>
      <c r="AG180" s="29"/>
      <c r="AH180" s="29"/>
      <c r="AI180" s="29"/>
      <c r="AJ180" s="26"/>
    </row>
    <row r="181" spans="5:36" s="27" customFormat="1" ht="15" customHeight="1">
      <c r="E181" s="28"/>
      <c r="F181" s="28"/>
      <c r="G181" s="28"/>
      <c r="H181" s="28"/>
      <c r="I181" s="28"/>
      <c r="L181" s="29"/>
      <c r="M181" s="29"/>
      <c r="N181" s="29"/>
      <c r="O181" s="28"/>
      <c r="P181" s="28"/>
      <c r="S181" s="29"/>
      <c r="T181" s="29"/>
      <c r="U181" s="29"/>
      <c r="V181" s="28"/>
      <c r="W181" s="28"/>
      <c r="Z181" s="29"/>
      <c r="AA181" s="29"/>
      <c r="AB181" s="29"/>
      <c r="AC181" s="28"/>
      <c r="AD181" s="28"/>
      <c r="AG181" s="29"/>
      <c r="AH181" s="29"/>
      <c r="AI181" s="29"/>
      <c r="AJ181" s="26"/>
    </row>
    <row r="182" spans="5:36" s="27" customFormat="1" ht="15" customHeight="1">
      <c r="E182" s="28"/>
      <c r="F182" s="28"/>
      <c r="G182" s="28"/>
      <c r="H182" s="28"/>
      <c r="I182" s="28"/>
      <c r="L182" s="29"/>
      <c r="M182" s="29"/>
      <c r="N182" s="29"/>
      <c r="O182" s="28"/>
      <c r="P182" s="28"/>
      <c r="S182" s="29"/>
      <c r="T182" s="29"/>
      <c r="U182" s="29"/>
      <c r="V182" s="28"/>
      <c r="W182" s="28"/>
      <c r="Z182" s="29"/>
      <c r="AA182" s="29"/>
      <c r="AB182" s="29"/>
      <c r="AC182" s="28"/>
      <c r="AD182" s="28"/>
      <c r="AG182" s="29"/>
      <c r="AH182" s="29"/>
      <c r="AI182" s="29"/>
      <c r="AJ182" s="26"/>
    </row>
    <row r="183" spans="5:36" s="27" customFormat="1" ht="15" customHeight="1">
      <c r="E183" s="28"/>
      <c r="F183" s="28"/>
      <c r="G183" s="28"/>
      <c r="H183" s="28"/>
      <c r="I183" s="28"/>
      <c r="L183" s="29"/>
      <c r="M183" s="29"/>
      <c r="N183" s="29"/>
      <c r="O183" s="28"/>
      <c r="P183" s="28"/>
      <c r="S183" s="29"/>
      <c r="T183" s="29"/>
      <c r="U183" s="29"/>
      <c r="V183" s="28"/>
      <c r="W183" s="28"/>
      <c r="Z183" s="29"/>
      <c r="AA183" s="29"/>
      <c r="AB183" s="29"/>
      <c r="AC183" s="28"/>
      <c r="AD183" s="28"/>
      <c r="AG183" s="29"/>
      <c r="AH183" s="29"/>
      <c r="AI183" s="29"/>
      <c r="AJ183" s="26"/>
    </row>
    <row r="184" spans="5:36" s="27" customFormat="1" ht="15" customHeight="1">
      <c r="E184" s="28"/>
      <c r="F184" s="28"/>
      <c r="G184" s="28"/>
      <c r="H184" s="28"/>
      <c r="I184" s="28"/>
      <c r="L184" s="29"/>
      <c r="M184" s="29"/>
      <c r="N184" s="29"/>
      <c r="O184" s="28"/>
      <c r="P184" s="28"/>
      <c r="S184" s="29"/>
      <c r="T184" s="29"/>
      <c r="U184" s="29"/>
      <c r="V184" s="28"/>
      <c r="W184" s="28"/>
      <c r="Z184" s="29"/>
      <c r="AA184" s="29"/>
      <c r="AB184" s="29"/>
      <c r="AC184" s="28"/>
      <c r="AD184" s="28"/>
      <c r="AG184" s="29"/>
      <c r="AH184" s="29"/>
      <c r="AI184" s="29"/>
      <c r="AJ184" s="26"/>
    </row>
    <row r="185" spans="5:36" s="27" customFormat="1" ht="15" customHeight="1">
      <c r="E185" s="28"/>
      <c r="F185" s="28"/>
      <c r="G185" s="28"/>
      <c r="H185" s="28"/>
      <c r="I185" s="28"/>
      <c r="L185" s="29"/>
      <c r="M185" s="29"/>
      <c r="N185" s="29"/>
      <c r="O185" s="28"/>
      <c r="P185" s="28"/>
      <c r="S185" s="29"/>
      <c r="T185" s="29"/>
      <c r="U185" s="29"/>
      <c r="V185" s="28"/>
      <c r="W185" s="28"/>
      <c r="Z185" s="29"/>
      <c r="AA185" s="29"/>
      <c r="AB185" s="29"/>
      <c r="AC185" s="28"/>
      <c r="AD185" s="28"/>
      <c r="AG185" s="29"/>
      <c r="AH185" s="29"/>
      <c r="AI185" s="29"/>
      <c r="AJ185" s="26"/>
    </row>
    <row r="186" spans="5:36" s="27" customFormat="1" ht="15" customHeight="1">
      <c r="E186" s="28"/>
      <c r="F186" s="28"/>
      <c r="G186" s="28"/>
      <c r="H186" s="28"/>
      <c r="I186" s="28"/>
      <c r="L186" s="29"/>
      <c r="M186" s="29"/>
      <c r="N186" s="29"/>
      <c r="O186" s="28"/>
      <c r="P186" s="28"/>
      <c r="S186" s="29"/>
      <c r="T186" s="29"/>
      <c r="U186" s="29"/>
      <c r="V186" s="28"/>
      <c r="W186" s="28"/>
      <c r="Z186" s="29"/>
      <c r="AA186" s="29"/>
      <c r="AB186" s="29"/>
      <c r="AC186" s="28"/>
      <c r="AD186" s="28"/>
      <c r="AG186" s="29"/>
      <c r="AH186" s="29"/>
      <c r="AI186" s="29"/>
      <c r="AJ186" s="26"/>
    </row>
    <row r="187" spans="5:36" s="27" customFormat="1" ht="15" customHeight="1">
      <c r="E187" s="28"/>
      <c r="F187" s="28"/>
      <c r="G187" s="28"/>
      <c r="H187" s="28"/>
      <c r="I187" s="28"/>
      <c r="L187" s="29"/>
      <c r="M187" s="29"/>
      <c r="N187" s="29"/>
      <c r="O187" s="28"/>
      <c r="P187" s="28"/>
      <c r="S187" s="29"/>
      <c r="T187" s="29"/>
      <c r="U187" s="29"/>
      <c r="V187" s="28"/>
      <c r="W187" s="28"/>
      <c r="Z187" s="29"/>
      <c r="AA187" s="29"/>
      <c r="AB187" s="29"/>
      <c r="AC187" s="28"/>
      <c r="AD187" s="28"/>
      <c r="AG187" s="29"/>
      <c r="AH187" s="29"/>
      <c r="AI187" s="29"/>
      <c r="AJ187" s="26"/>
    </row>
    <row r="188" spans="5:36" s="27" customFormat="1" ht="15" customHeight="1">
      <c r="E188" s="28"/>
      <c r="F188" s="28"/>
      <c r="G188" s="28"/>
      <c r="H188" s="28"/>
      <c r="I188" s="28"/>
      <c r="L188" s="29"/>
      <c r="M188" s="29"/>
      <c r="N188" s="29"/>
      <c r="O188" s="28"/>
      <c r="P188" s="28"/>
      <c r="S188" s="29"/>
      <c r="T188" s="29"/>
      <c r="U188" s="29"/>
      <c r="V188" s="28"/>
      <c r="W188" s="28"/>
      <c r="Z188" s="29"/>
      <c r="AA188" s="29"/>
      <c r="AB188" s="29"/>
      <c r="AC188" s="28"/>
      <c r="AD188" s="28"/>
      <c r="AG188" s="29"/>
      <c r="AH188" s="29"/>
      <c r="AI188" s="29"/>
      <c r="AJ188" s="26"/>
    </row>
    <row r="189" spans="5:36" s="27" customFormat="1" ht="15" customHeight="1">
      <c r="E189" s="28"/>
      <c r="F189" s="28"/>
      <c r="G189" s="28"/>
      <c r="H189" s="28"/>
      <c r="I189" s="28"/>
      <c r="L189" s="29"/>
      <c r="M189" s="29"/>
      <c r="N189" s="29"/>
      <c r="O189" s="28"/>
      <c r="P189" s="28"/>
      <c r="S189" s="29"/>
      <c r="T189" s="29"/>
      <c r="U189" s="29"/>
      <c r="V189" s="28"/>
      <c r="W189" s="28"/>
      <c r="Z189" s="29"/>
      <c r="AA189" s="29"/>
      <c r="AB189" s="29"/>
      <c r="AC189" s="28"/>
      <c r="AD189" s="28"/>
      <c r="AG189" s="29"/>
      <c r="AH189" s="29"/>
      <c r="AI189" s="29"/>
      <c r="AJ189" s="26"/>
    </row>
    <row r="190" spans="5:36" s="27" customFormat="1" ht="15" customHeight="1">
      <c r="E190" s="28"/>
      <c r="F190" s="28"/>
      <c r="G190" s="28"/>
      <c r="H190" s="28"/>
      <c r="I190" s="28"/>
      <c r="L190" s="29"/>
      <c r="M190" s="29"/>
      <c r="N190" s="29"/>
      <c r="O190" s="28"/>
      <c r="P190" s="28"/>
      <c r="S190" s="29"/>
      <c r="T190" s="29"/>
      <c r="U190" s="29"/>
      <c r="V190" s="28"/>
      <c r="W190" s="28"/>
      <c r="Z190" s="29"/>
      <c r="AA190" s="29"/>
      <c r="AB190" s="29"/>
      <c r="AC190" s="28"/>
      <c r="AD190" s="28"/>
      <c r="AG190" s="29"/>
      <c r="AH190" s="29"/>
      <c r="AI190" s="29"/>
      <c r="AJ190" s="26"/>
    </row>
    <row r="191" spans="5:36" s="27" customFormat="1" ht="15" customHeight="1">
      <c r="E191" s="28"/>
      <c r="F191" s="28"/>
      <c r="G191" s="28"/>
      <c r="H191" s="28"/>
      <c r="I191" s="28"/>
      <c r="L191" s="29"/>
      <c r="M191" s="29"/>
      <c r="N191" s="29"/>
      <c r="O191" s="28"/>
      <c r="P191" s="28"/>
      <c r="S191" s="29"/>
      <c r="T191" s="29"/>
      <c r="U191" s="29"/>
      <c r="V191" s="28"/>
      <c r="W191" s="28"/>
      <c r="Z191" s="29"/>
      <c r="AA191" s="29"/>
      <c r="AB191" s="29"/>
      <c r="AC191" s="28"/>
      <c r="AD191" s="28"/>
      <c r="AG191" s="29"/>
      <c r="AH191" s="29"/>
      <c r="AI191" s="29"/>
      <c r="AJ191" s="26"/>
    </row>
    <row r="192" spans="5:36" s="27" customFormat="1" ht="15" customHeight="1">
      <c r="E192" s="28"/>
      <c r="F192" s="28"/>
      <c r="G192" s="28"/>
      <c r="H192" s="28"/>
      <c r="I192" s="28"/>
      <c r="L192" s="29"/>
      <c r="M192" s="29"/>
      <c r="N192" s="29"/>
      <c r="O192" s="28"/>
      <c r="P192" s="28"/>
      <c r="S192" s="29"/>
      <c r="T192" s="29"/>
      <c r="U192" s="29"/>
      <c r="V192" s="28"/>
      <c r="W192" s="28"/>
      <c r="Z192" s="29"/>
      <c r="AA192" s="29"/>
      <c r="AB192" s="29"/>
      <c r="AC192" s="28"/>
      <c r="AD192" s="28"/>
      <c r="AG192" s="29"/>
      <c r="AH192" s="29"/>
      <c r="AI192" s="29"/>
      <c r="AJ192" s="26"/>
    </row>
    <row r="193" spans="5:36" s="27" customFormat="1" ht="15" customHeight="1">
      <c r="E193" s="28"/>
      <c r="F193" s="28"/>
      <c r="G193" s="28"/>
      <c r="H193" s="28"/>
      <c r="I193" s="28"/>
      <c r="L193" s="29"/>
      <c r="M193" s="29"/>
      <c r="N193" s="29"/>
      <c r="O193" s="28"/>
      <c r="P193" s="28"/>
      <c r="S193" s="29"/>
      <c r="T193" s="29"/>
      <c r="U193" s="29"/>
      <c r="V193" s="28"/>
      <c r="W193" s="28"/>
      <c r="Z193" s="29"/>
      <c r="AA193" s="29"/>
      <c r="AB193" s="29"/>
      <c r="AC193" s="28"/>
      <c r="AD193" s="28"/>
      <c r="AG193" s="29"/>
      <c r="AH193" s="29"/>
      <c r="AI193" s="29"/>
      <c r="AJ193" s="26"/>
    </row>
    <row r="194" spans="5:36" s="27" customFormat="1" ht="15" customHeight="1">
      <c r="E194" s="28"/>
      <c r="F194" s="28"/>
      <c r="G194" s="28"/>
      <c r="H194" s="28"/>
      <c r="I194" s="28"/>
      <c r="L194" s="29"/>
      <c r="M194" s="29"/>
      <c r="N194" s="29"/>
      <c r="O194" s="28"/>
      <c r="P194" s="28"/>
      <c r="S194" s="29"/>
      <c r="T194" s="29"/>
      <c r="U194" s="29"/>
      <c r="V194" s="28"/>
      <c r="W194" s="28"/>
      <c r="Z194" s="29"/>
      <c r="AA194" s="29"/>
      <c r="AB194" s="29"/>
      <c r="AC194" s="28"/>
      <c r="AD194" s="28"/>
      <c r="AG194" s="29"/>
      <c r="AH194" s="29"/>
      <c r="AI194" s="29"/>
      <c r="AJ194" s="26"/>
    </row>
    <row r="195" spans="5:36" s="27" customFormat="1" ht="15" customHeight="1">
      <c r="E195" s="28"/>
      <c r="F195" s="28"/>
      <c r="G195" s="28"/>
      <c r="H195" s="28"/>
      <c r="I195" s="28"/>
      <c r="L195" s="29"/>
      <c r="M195" s="29"/>
      <c r="N195" s="29"/>
      <c r="O195" s="28"/>
      <c r="P195" s="28"/>
      <c r="S195" s="29"/>
      <c r="T195" s="29"/>
      <c r="U195" s="29"/>
      <c r="V195" s="28"/>
      <c r="W195" s="28"/>
      <c r="Z195" s="29"/>
      <c r="AA195" s="29"/>
      <c r="AB195" s="29"/>
      <c r="AC195" s="28"/>
      <c r="AD195" s="28"/>
      <c r="AG195" s="29"/>
      <c r="AH195" s="29"/>
      <c r="AI195" s="29"/>
      <c r="AJ195" s="26"/>
    </row>
    <row r="196" spans="5:36" s="27" customFormat="1" ht="15" customHeight="1">
      <c r="E196" s="28"/>
      <c r="F196" s="28"/>
      <c r="G196" s="28"/>
      <c r="H196" s="28"/>
      <c r="I196" s="28"/>
      <c r="L196" s="29"/>
      <c r="M196" s="29"/>
      <c r="N196" s="29"/>
      <c r="O196" s="28"/>
      <c r="P196" s="28"/>
      <c r="S196" s="29"/>
      <c r="T196" s="29"/>
      <c r="U196" s="29"/>
      <c r="V196" s="28"/>
      <c r="W196" s="28"/>
      <c r="Z196" s="29"/>
      <c r="AA196" s="29"/>
      <c r="AB196" s="29"/>
      <c r="AC196" s="28"/>
      <c r="AD196" s="28"/>
      <c r="AG196" s="29"/>
      <c r="AH196" s="29"/>
      <c r="AI196" s="29"/>
      <c r="AJ196" s="26"/>
    </row>
    <row r="197" spans="5:36" s="27" customFormat="1" ht="15" customHeight="1">
      <c r="E197" s="28"/>
      <c r="F197" s="28"/>
      <c r="G197" s="28"/>
      <c r="H197" s="28"/>
      <c r="I197" s="28"/>
      <c r="L197" s="29"/>
      <c r="M197" s="29"/>
      <c r="N197" s="29"/>
      <c r="O197" s="28"/>
      <c r="P197" s="28"/>
      <c r="S197" s="29"/>
      <c r="T197" s="29"/>
      <c r="U197" s="29"/>
      <c r="V197" s="28"/>
      <c r="W197" s="28"/>
      <c r="Z197" s="29"/>
      <c r="AA197" s="29"/>
      <c r="AB197" s="29"/>
      <c r="AC197" s="28"/>
      <c r="AD197" s="28"/>
      <c r="AG197" s="29"/>
      <c r="AH197" s="29"/>
      <c r="AI197" s="29"/>
      <c r="AJ197" s="26"/>
    </row>
    <row r="198" spans="5:36" s="27" customFormat="1" ht="15" customHeight="1">
      <c r="E198" s="28"/>
      <c r="F198" s="28"/>
      <c r="G198" s="28"/>
      <c r="H198" s="28"/>
      <c r="I198" s="28"/>
      <c r="L198" s="29"/>
      <c r="M198" s="29"/>
      <c r="N198" s="29"/>
      <c r="O198" s="28"/>
      <c r="P198" s="28"/>
      <c r="S198" s="29"/>
      <c r="T198" s="29"/>
      <c r="U198" s="29"/>
      <c r="V198" s="28"/>
      <c r="W198" s="28"/>
      <c r="Z198" s="29"/>
      <c r="AA198" s="29"/>
      <c r="AB198" s="29"/>
      <c r="AC198" s="28"/>
      <c r="AD198" s="28"/>
      <c r="AG198" s="29"/>
      <c r="AH198" s="29"/>
      <c r="AI198" s="29"/>
      <c r="AJ198" s="26"/>
    </row>
    <row r="199" spans="5:36" s="27" customFormat="1" ht="15" customHeight="1">
      <c r="E199" s="28"/>
      <c r="F199" s="28"/>
      <c r="G199" s="28"/>
      <c r="H199" s="28"/>
      <c r="I199" s="28"/>
      <c r="L199" s="29"/>
      <c r="M199" s="29"/>
      <c r="N199" s="29"/>
      <c r="O199" s="28"/>
      <c r="P199" s="28"/>
      <c r="S199" s="29"/>
      <c r="T199" s="29"/>
      <c r="U199" s="29"/>
      <c r="V199" s="28"/>
      <c r="W199" s="28"/>
      <c r="Z199" s="29"/>
      <c r="AA199" s="29"/>
      <c r="AB199" s="29"/>
      <c r="AC199" s="28"/>
      <c r="AD199" s="28"/>
      <c r="AG199" s="29"/>
      <c r="AH199" s="29"/>
      <c r="AI199" s="29"/>
      <c r="AJ199" s="26"/>
    </row>
    <row r="200" spans="5:36" s="27" customFormat="1" ht="15" customHeight="1">
      <c r="E200" s="28"/>
      <c r="F200" s="28"/>
      <c r="G200" s="28"/>
      <c r="H200" s="28"/>
      <c r="I200" s="28"/>
      <c r="L200" s="29"/>
      <c r="M200" s="29"/>
      <c r="N200" s="29"/>
      <c r="O200" s="28"/>
      <c r="P200" s="28"/>
      <c r="S200" s="29"/>
      <c r="T200" s="29"/>
      <c r="U200" s="29"/>
      <c r="V200" s="28"/>
      <c r="W200" s="28"/>
      <c r="Z200" s="29"/>
      <c r="AA200" s="29"/>
      <c r="AB200" s="29"/>
      <c r="AC200" s="28"/>
      <c r="AD200" s="28"/>
      <c r="AG200" s="29"/>
      <c r="AH200" s="29"/>
      <c r="AI200" s="29"/>
      <c r="AJ200" s="26"/>
    </row>
    <row r="201" spans="5:36" s="27" customFormat="1" ht="15" customHeight="1">
      <c r="E201" s="28"/>
      <c r="F201" s="28"/>
      <c r="G201" s="28"/>
      <c r="H201" s="28"/>
      <c r="I201" s="28"/>
      <c r="L201" s="29"/>
      <c r="M201" s="29"/>
      <c r="N201" s="29"/>
      <c r="O201" s="28"/>
      <c r="P201" s="28"/>
      <c r="S201" s="29"/>
      <c r="T201" s="29"/>
      <c r="U201" s="29"/>
      <c r="V201" s="28"/>
      <c r="W201" s="28"/>
      <c r="Z201" s="29"/>
      <c r="AA201" s="29"/>
      <c r="AB201" s="29"/>
      <c r="AC201" s="28"/>
      <c r="AD201" s="28"/>
      <c r="AG201" s="29"/>
      <c r="AH201" s="29"/>
      <c r="AI201" s="29"/>
      <c r="AJ201" s="26"/>
    </row>
    <row r="202" spans="5:36" s="27" customFormat="1" ht="15" customHeight="1">
      <c r="E202" s="28"/>
      <c r="F202" s="28"/>
      <c r="G202" s="28"/>
      <c r="H202" s="28"/>
      <c r="I202" s="28"/>
      <c r="L202" s="29"/>
      <c r="M202" s="29"/>
      <c r="N202" s="29"/>
      <c r="O202" s="28"/>
      <c r="P202" s="28"/>
      <c r="S202" s="29"/>
      <c r="T202" s="29"/>
      <c r="U202" s="29"/>
      <c r="V202" s="28"/>
      <c r="W202" s="28"/>
      <c r="Z202" s="29"/>
      <c r="AA202" s="29"/>
      <c r="AB202" s="29"/>
      <c r="AC202" s="28"/>
      <c r="AD202" s="28"/>
      <c r="AG202" s="29"/>
      <c r="AH202" s="29"/>
      <c r="AI202" s="29"/>
      <c r="AJ202" s="26"/>
    </row>
    <row r="203" spans="5:36" s="27" customFormat="1" ht="15" customHeight="1">
      <c r="E203" s="28"/>
      <c r="F203" s="28"/>
      <c r="G203" s="28"/>
      <c r="H203" s="28"/>
      <c r="I203" s="28"/>
      <c r="L203" s="29"/>
      <c r="M203" s="29"/>
      <c r="N203" s="29"/>
      <c r="O203" s="28"/>
      <c r="P203" s="28"/>
      <c r="S203" s="29"/>
      <c r="T203" s="29"/>
      <c r="U203" s="29"/>
      <c r="V203" s="28"/>
      <c r="W203" s="28"/>
      <c r="Z203" s="29"/>
      <c r="AA203" s="29"/>
      <c r="AB203" s="29"/>
      <c r="AC203" s="28"/>
      <c r="AD203" s="28"/>
      <c r="AG203" s="29"/>
      <c r="AH203" s="29"/>
      <c r="AI203" s="29"/>
      <c r="AJ203" s="26"/>
    </row>
    <row r="204" spans="5:36" s="27" customFormat="1" ht="15" customHeight="1">
      <c r="E204" s="28"/>
      <c r="F204" s="28"/>
      <c r="G204" s="28"/>
      <c r="H204" s="28"/>
      <c r="I204" s="28"/>
      <c r="L204" s="29"/>
      <c r="M204" s="29"/>
      <c r="N204" s="29"/>
      <c r="O204" s="28"/>
      <c r="P204" s="28"/>
      <c r="S204" s="29"/>
      <c r="T204" s="29"/>
      <c r="U204" s="29"/>
      <c r="V204" s="28"/>
      <c r="W204" s="28"/>
      <c r="Z204" s="29"/>
      <c r="AA204" s="29"/>
      <c r="AB204" s="29"/>
      <c r="AC204" s="28"/>
      <c r="AD204" s="28"/>
      <c r="AG204" s="29"/>
      <c r="AH204" s="29"/>
      <c r="AI204" s="29"/>
      <c r="AJ204" s="26"/>
    </row>
    <row r="205" spans="5:36" s="27" customFormat="1" ht="15" customHeight="1">
      <c r="E205" s="28"/>
      <c r="F205" s="28"/>
      <c r="G205" s="28"/>
      <c r="H205" s="28"/>
      <c r="I205" s="28"/>
      <c r="L205" s="29"/>
      <c r="M205" s="29"/>
      <c r="N205" s="29"/>
      <c r="O205" s="28"/>
      <c r="P205" s="28"/>
      <c r="S205" s="29"/>
      <c r="T205" s="29"/>
      <c r="U205" s="29"/>
      <c r="V205" s="28"/>
      <c r="W205" s="28"/>
      <c r="Z205" s="29"/>
      <c r="AA205" s="29"/>
      <c r="AB205" s="29"/>
      <c r="AC205" s="28"/>
      <c r="AD205" s="28"/>
      <c r="AG205" s="29"/>
      <c r="AH205" s="29"/>
      <c r="AI205" s="29"/>
      <c r="AJ205" s="26"/>
    </row>
    <row r="206" spans="5:36" s="27" customFormat="1" ht="15" customHeight="1">
      <c r="E206" s="28"/>
      <c r="F206" s="28"/>
      <c r="G206" s="28"/>
      <c r="H206" s="28"/>
      <c r="I206" s="28"/>
      <c r="L206" s="29"/>
      <c r="M206" s="29"/>
      <c r="N206" s="29"/>
      <c r="O206" s="28"/>
      <c r="P206" s="28"/>
      <c r="S206" s="29"/>
      <c r="T206" s="29"/>
      <c r="U206" s="29"/>
      <c r="V206" s="28"/>
      <c r="W206" s="28"/>
      <c r="Z206" s="29"/>
      <c r="AA206" s="29"/>
      <c r="AB206" s="29"/>
      <c r="AC206" s="28"/>
      <c r="AD206" s="28"/>
      <c r="AG206" s="29"/>
      <c r="AH206" s="29"/>
      <c r="AI206" s="29"/>
      <c r="AJ206" s="26"/>
    </row>
    <row r="207" spans="5:36" s="27" customFormat="1" ht="15" customHeight="1">
      <c r="E207" s="28"/>
      <c r="F207" s="28"/>
      <c r="G207" s="28"/>
      <c r="H207" s="28"/>
      <c r="I207" s="28"/>
      <c r="L207" s="29"/>
      <c r="M207" s="29"/>
      <c r="N207" s="29"/>
      <c r="O207" s="28"/>
      <c r="P207" s="28"/>
      <c r="S207" s="29"/>
      <c r="T207" s="29"/>
      <c r="U207" s="29"/>
      <c r="V207" s="28"/>
      <c r="W207" s="28"/>
      <c r="Z207" s="29"/>
      <c r="AA207" s="29"/>
      <c r="AB207" s="29"/>
      <c r="AC207" s="28"/>
      <c r="AD207" s="28"/>
      <c r="AG207" s="29"/>
      <c r="AH207" s="29"/>
      <c r="AI207" s="29"/>
      <c r="AJ207" s="26"/>
    </row>
    <row r="208" spans="5:36" s="27" customFormat="1" ht="15" customHeight="1">
      <c r="E208" s="28"/>
      <c r="F208" s="28"/>
      <c r="G208" s="28"/>
      <c r="H208" s="28"/>
      <c r="I208" s="28"/>
      <c r="L208" s="29"/>
      <c r="M208" s="29"/>
      <c r="N208" s="29"/>
      <c r="O208" s="28"/>
      <c r="P208" s="28"/>
      <c r="S208" s="29"/>
      <c r="T208" s="29"/>
      <c r="U208" s="29"/>
      <c r="V208" s="28"/>
      <c r="W208" s="28"/>
      <c r="Z208" s="29"/>
      <c r="AA208" s="29"/>
      <c r="AB208" s="29"/>
      <c r="AC208" s="28"/>
      <c r="AD208" s="28"/>
      <c r="AG208" s="29"/>
      <c r="AH208" s="29"/>
      <c r="AI208" s="29"/>
      <c r="AJ208" s="26"/>
    </row>
    <row r="209" spans="5:36" s="27" customFormat="1" ht="15" customHeight="1">
      <c r="E209" s="28"/>
      <c r="F209" s="28"/>
      <c r="G209" s="28"/>
      <c r="H209" s="28"/>
      <c r="I209" s="28"/>
      <c r="L209" s="29"/>
      <c r="M209" s="29"/>
      <c r="N209" s="29"/>
      <c r="O209" s="28"/>
      <c r="P209" s="28"/>
      <c r="S209" s="29"/>
      <c r="T209" s="29"/>
      <c r="U209" s="29"/>
      <c r="V209" s="28"/>
      <c r="W209" s="28"/>
      <c r="Z209" s="29"/>
      <c r="AA209" s="29"/>
      <c r="AB209" s="29"/>
      <c r="AC209" s="28"/>
      <c r="AD209" s="28"/>
      <c r="AG209" s="29"/>
      <c r="AH209" s="29"/>
      <c r="AI209" s="29"/>
      <c r="AJ209" s="26"/>
    </row>
    <row r="210" spans="5:36" s="27" customFormat="1" ht="15" customHeight="1">
      <c r="E210" s="28"/>
      <c r="F210" s="28"/>
      <c r="G210" s="28"/>
      <c r="H210" s="28"/>
      <c r="I210" s="28"/>
      <c r="L210" s="29"/>
      <c r="M210" s="29"/>
      <c r="N210" s="29"/>
      <c r="O210" s="28"/>
      <c r="P210" s="28"/>
      <c r="S210" s="29"/>
      <c r="T210" s="29"/>
      <c r="U210" s="29"/>
      <c r="V210" s="28"/>
      <c r="W210" s="28"/>
      <c r="Z210" s="29"/>
      <c r="AA210" s="29"/>
      <c r="AB210" s="29"/>
      <c r="AC210" s="28"/>
      <c r="AD210" s="28"/>
      <c r="AG210" s="29"/>
      <c r="AH210" s="29"/>
      <c r="AI210" s="29"/>
      <c r="AJ210" s="26"/>
    </row>
    <row r="211" spans="5:36" s="27" customFormat="1" ht="15" customHeight="1">
      <c r="E211" s="28"/>
      <c r="F211" s="28"/>
      <c r="G211" s="28"/>
      <c r="H211" s="28"/>
      <c r="I211" s="28"/>
      <c r="L211" s="29"/>
      <c r="M211" s="29"/>
      <c r="N211" s="29"/>
      <c r="O211" s="28"/>
      <c r="P211" s="28"/>
      <c r="S211" s="29"/>
      <c r="T211" s="29"/>
      <c r="U211" s="29"/>
      <c r="V211" s="28"/>
      <c r="W211" s="28"/>
      <c r="Z211" s="29"/>
      <c r="AA211" s="29"/>
      <c r="AB211" s="29"/>
      <c r="AC211" s="28"/>
      <c r="AD211" s="28"/>
      <c r="AG211" s="29"/>
      <c r="AH211" s="29"/>
      <c r="AI211" s="29"/>
      <c r="AJ211" s="26"/>
    </row>
    <row r="212" spans="5:36" s="27" customFormat="1" ht="15" customHeight="1">
      <c r="E212" s="28"/>
      <c r="F212" s="28"/>
      <c r="G212" s="28"/>
      <c r="H212" s="28"/>
      <c r="I212" s="28"/>
      <c r="L212" s="29"/>
      <c r="M212" s="29"/>
      <c r="N212" s="29"/>
      <c r="O212" s="28"/>
      <c r="P212" s="28"/>
      <c r="S212" s="29"/>
      <c r="T212" s="29"/>
      <c r="U212" s="29"/>
      <c r="V212" s="28"/>
      <c r="W212" s="28"/>
      <c r="Z212" s="29"/>
      <c r="AA212" s="29"/>
      <c r="AB212" s="29"/>
      <c r="AC212" s="28"/>
      <c r="AD212" s="28"/>
      <c r="AG212" s="29"/>
      <c r="AH212" s="29"/>
      <c r="AI212" s="29"/>
      <c r="AJ212" s="26"/>
    </row>
    <row r="213" spans="5:36" s="27" customFormat="1" ht="15" customHeight="1">
      <c r="E213" s="28"/>
      <c r="F213" s="28"/>
      <c r="G213" s="28"/>
      <c r="H213" s="28"/>
      <c r="I213" s="28"/>
      <c r="L213" s="29"/>
      <c r="M213" s="29"/>
      <c r="N213" s="29"/>
      <c r="O213" s="28"/>
      <c r="P213" s="28"/>
      <c r="S213" s="29"/>
      <c r="T213" s="29"/>
      <c r="U213" s="29"/>
      <c r="V213" s="28"/>
      <c r="W213" s="28"/>
      <c r="Z213" s="29"/>
      <c r="AA213" s="29"/>
      <c r="AB213" s="29"/>
      <c r="AC213" s="28"/>
      <c r="AD213" s="28"/>
      <c r="AG213" s="29"/>
      <c r="AH213" s="29"/>
      <c r="AI213" s="29"/>
      <c r="AJ213" s="26"/>
    </row>
    <row r="214" spans="5:36" s="27" customFormat="1" ht="15" customHeight="1">
      <c r="E214" s="28"/>
      <c r="F214" s="28"/>
      <c r="G214" s="28"/>
      <c r="H214" s="28"/>
      <c r="I214" s="28"/>
      <c r="L214" s="29"/>
      <c r="M214" s="29"/>
      <c r="N214" s="29"/>
      <c r="O214" s="28"/>
      <c r="P214" s="28"/>
      <c r="S214" s="29"/>
      <c r="T214" s="29"/>
      <c r="U214" s="29"/>
      <c r="V214" s="28"/>
      <c r="W214" s="28"/>
      <c r="Z214" s="29"/>
      <c r="AA214" s="29"/>
      <c r="AB214" s="29"/>
      <c r="AC214" s="28"/>
      <c r="AD214" s="28"/>
      <c r="AG214" s="29"/>
      <c r="AH214" s="29"/>
      <c r="AI214" s="29"/>
      <c r="AJ214" s="26"/>
    </row>
    <row r="215" spans="5:36" s="27" customFormat="1" ht="15" customHeight="1">
      <c r="E215" s="28"/>
      <c r="F215" s="28"/>
      <c r="G215" s="28"/>
      <c r="H215" s="28"/>
      <c r="I215" s="28"/>
      <c r="L215" s="29"/>
      <c r="M215" s="29"/>
      <c r="N215" s="29"/>
      <c r="O215" s="28"/>
      <c r="P215" s="28"/>
      <c r="S215" s="29"/>
      <c r="T215" s="29"/>
      <c r="U215" s="29"/>
      <c r="V215" s="28"/>
      <c r="W215" s="28"/>
      <c r="Z215" s="29"/>
      <c r="AA215" s="29"/>
      <c r="AB215" s="29"/>
      <c r="AC215" s="28"/>
      <c r="AD215" s="28"/>
      <c r="AG215" s="29"/>
      <c r="AH215" s="29"/>
      <c r="AI215" s="29"/>
      <c r="AJ215" s="26"/>
    </row>
    <row r="216" spans="5:36" s="27" customFormat="1" ht="15" customHeight="1">
      <c r="E216" s="28"/>
      <c r="F216" s="28"/>
      <c r="G216" s="28"/>
      <c r="H216" s="28"/>
      <c r="I216" s="28"/>
      <c r="L216" s="29"/>
      <c r="M216" s="29"/>
      <c r="N216" s="29"/>
      <c r="O216" s="28"/>
      <c r="P216" s="28"/>
      <c r="S216" s="29"/>
      <c r="T216" s="29"/>
      <c r="U216" s="29"/>
      <c r="V216" s="28"/>
      <c r="W216" s="28"/>
      <c r="Z216" s="29"/>
      <c r="AA216" s="29"/>
      <c r="AB216" s="29"/>
      <c r="AC216" s="28"/>
      <c r="AD216" s="28"/>
      <c r="AG216" s="29"/>
      <c r="AH216" s="29"/>
      <c r="AI216" s="29"/>
      <c r="AJ216" s="26"/>
    </row>
    <row r="217" spans="5:36" s="27" customFormat="1" ht="15" customHeight="1">
      <c r="E217" s="28"/>
      <c r="F217" s="28"/>
      <c r="G217" s="28"/>
      <c r="H217" s="28"/>
      <c r="I217" s="28"/>
      <c r="L217" s="29"/>
      <c r="M217" s="29"/>
      <c r="N217" s="29"/>
      <c r="O217" s="28"/>
      <c r="P217" s="28"/>
      <c r="S217" s="29"/>
      <c r="T217" s="29"/>
      <c r="U217" s="29"/>
      <c r="V217" s="28"/>
      <c r="W217" s="28"/>
      <c r="Z217" s="29"/>
      <c r="AA217" s="29"/>
      <c r="AB217" s="29"/>
      <c r="AC217" s="28"/>
      <c r="AD217" s="28"/>
      <c r="AG217" s="29"/>
      <c r="AH217" s="29"/>
      <c r="AI217" s="29"/>
      <c r="AJ217" s="26"/>
    </row>
    <row r="218" spans="5:36" s="27" customFormat="1" ht="15" customHeight="1">
      <c r="E218" s="28"/>
      <c r="F218" s="28"/>
      <c r="G218" s="28"/>
      <c r="H218" s="28"/>
      <c r="I218" s="28"/>
      <c r="L218" s="29"/>
      <c r="M218" s="29"/>
      <c r="N218" s="29"/>
      <c r="O218" s="28"/>
      <c r="P218" s="28"/>
      <c r="S218" s="29"/>
      <c r="T218" s="29"/>
      <c r="U218" s="29"/>
      <c r="V218" s="28"/>
      <c r="W218" s="28"/>
      <c r="Z218" s="29"/>
      <c r="AA218" s="29"/>
      <c r="AB218" s="29"/>
      <c r="AC218" s="28"/>
      <c r="AD218" s="28"/>
      <c r="AG218" s="29"/>
      <c r="AH218" s="29"/>
      <c r="AI218" s="29"/>
      <c r="AJ218" s="26"/>
    </row>
    <row r="219" spans="5:36" s="27" customFormat="1" ht="15" customHeight="1">
      <c r="E219" s="28"/>
      <c r="F219" s="28"/>
      <c r="G219" s="28"/>
      <c r="H219" s="28"/>
      <c r="I219" s="28"/>
      <c r="L219" s="29"/>
      <c r="M219" s="29"/>
      <c r="N219" s="29"/>
      <c r="O219" s="28"/>
      <c r="P219" s="28"/>
      <c r="S219" s="29"/>
      <c r="T219" s="29"/>
      <c r="U219" s="29"/>
      <c r="V219" s="28"/>
      <c r="W219" s="28"/>
      <c r="Z219" s="29"/>
      <c r="AA219" s="29"/>
      <c r="AB219" s="29"/>
      <c r="AC219" s="28"/>
      <c r="AD219" s="28"/>
      <c r="AG219" s="29"/>
      <c r="AH219" s="29"/>
      <c r="AI219" s="29"/>
      <c r="AJ219" s="26"/>
    </row>
    <row r="220" spans="5:36" s="27" customFormat="1" ht="15" customHeight="1">
      <c r="E220" s="28"/>
      <c r="F220" s="28"/>
      <c r="G220" s="28"/>
      <c r="H220" s="28"/>
      <c r="I220" s="28"/>
      <c r="L220" s="29"/>
      <c r="M220" s="29"/>
      <c r="N220" s="29"/>
      <c r="O220" s="28"/>
      <c r="P220" s="28"/>
      <c r="S220" s="29"/>
      <c r="T220" s="29"/>
      <c r="U220" s="29"/>
      <c r="V220" s="28"/>
      <c r="W220" s="28"/>
      <c r="Z220" s="29"/>
      <c r="AA220" s="29"/>
      <c r="AB220" s="29"/>
      <c r="AC220" s="28"/>
      <c r="AD220" s="28"/>
      <c r="AG220" s="29"/>
      <c r="AH220" s="29"/>
      <c r="AI220" s="29"/>
      <c r="AJ220" s="26"/>
    </row>
    <row r="221" spans="5:36" s="27" customFormat="1" ht="15" customHeight="1">
      <c r="E221" s="28"/>
      <c r="F221" s="28"/>
      <c r="G221" s="28"/>
      <c r="H221" s="28"/>
      <c r="I221" s="28"/>
      <c r="L221" s="29"/>
      <c r="M221" s="29"/>
      <c r="N221" s="29"/>
      <c r="O221" s="28"/>
      <c r="P221" s="28"/>
      <c r="S221" s="29"/>
      <c r="T221" s="29"/>
      <c r="U221" s="29"/>
      <c r="V221" s="28"/>
      <c r="W221" s="28"/>
      <c r="Z221" s="29"/>
      <c r="AA221" s="29"/>
      <c r="AB221" s="29"/>
      <c r="AC221" s="28"/>
      <c r="AD221" s="28"/>
      <c r="AG221" s="29"/>
      <c r="AH221" s="29"/>
      <c r="AI221" s="29"/>
      <c r="AJ221" s="26"/>
    </row>
    <row r="222" spans="5:36" s="27" customFormat="1" ht="15" customHeight="1">
      <c r="E222" s="28"/>
      <c r="F222" s="28"/>
      <c r="G222" s="28"/>
      <c r="H222" s="28"/>
      <c r="I222" s="28"/>
      <c r="L222" s="29"/>
      <c r="M222" s="29"/>
      <c r="N222" s="29"/>
      <c r="O222" s="28"/>
      <c r="P222" s="28"/>
      <c r="S222" s="29"/>
      <c r="T222" s="29"/>
      <c r="U222" s="29"/>
      <c r="V222" s="28"/>
      <c r="W222" s="28"/>
      <c r="Z222" s="29"/>
      <c r="AA222" s="29"/>
      <c r="AB222" s="29"/>
      <c r="AC222" s="28"/>
      <c r="AD222" s="28"/>
      <c r="AG222" s="29"/>
      <c r="AH222" s="29"/>
      <c r="AI222" s="29"/>
      <c r="AJ222" s="26"/>
    </row>
    <row r="223" spans="5:36" s="27" customFormat="1" ht="15" customHeight="1">
      <c r="E223" s="28"/>
      <c r="F223" s="28"/>
      <c r="G223" s="28"/>
      <c r="H223" s="28"/>
      <c r="I223" s="28"/>
      <c r="L223" s="29"/>
      <c r="M223" s="29"/>
      <c r="N223" s="29"/>
      <c r="O223" s="28"/>
      <c r="P223" s="28"/>
      <c r="S223" s="29"/>
      <c r="T223" s="29"/>
      <c r="U223" s="29"/>
      <c r="V223" s="28"/>
      <c r="W223" s="28"/>
      <c r="Z223" s="29"/>
      <c r="AA223" s="29"/>
      <c r="AB223" s="29"/>
      <c r="AC223" s="28"/>
      <c r="AD223" s="28"/>
      <c r="AG223" s="29"/>
      <c r="AH223" s="29"/>
      <c r="AI223" s="29"/>
      <c r="AJ223" s="26"/>
    </row>
    <row r="224" spans="5:36" s="27" customFormat="1" ht="15" customHeight="1">
      <c r="E224" s="28"/>
      <c r="F224" s="28"/>
      <c r="G224" s="28"/>
      <c r="H224" s="28"/>
      <c r="I224" s="28"/>
      <c r="L224" s="29"/>
      <c r="M224" s="29"/>
      <c r="N224" s="29"/>
      <c r="O224" s="28"/>
      <c r="P224" s="28"/>
      <c r="S224" s="29"/>
      <c r="T224" s="29"/>
      <c r="U224" s="29"/>
      <c r="V224" s="28"/>
      <c r="W224" s="28"/>
      <c r="Z224" s="29"/>
      <c r="AA224" s="29"/>
      <c r="AB224" s="29"/>
      <c r="AC224" s="28"/>
      <c r="AD224" s="28"/>
      <c r="AG224" s="29"/>
      <c r="AH224" s="29"/>
      <c r="AI224" s="29"/>
      <c r="AJ224" s="26"/>
    </row>
    <row r="225" spans="5:36" s="27" customFormat="1" ht="15" customHeight="1">
      <c r="E225" s="28"/>
      <c r="F225" s="28"/>
      <c r="G225" s="28"/>
      <c r="H225" s="28"/>
      <c r="I225" s="28"/>
      <c r="L225" s="29"/>
      <c r="M225" s="29"/>
      <c r="N225" s="29"/>
      <c r="O225" s="28"/>
      <c r="P225" s="28"/>
      <c r="S225" s="29"/>
      <c r="T225" s="29"/>
      <c r="U225" s="29"/>
      <c r="V225" s="28"/>
      <c r="W225" s="28"/>
      <c r="Z225" s="29"/>
      <c r="AA225" s="29"/>
      <c r="AB225" s="29"/>
      <c r="AC225" s="28"/>
      <c r="AD225" s="28"/>
      <c r="AG225" s="29"/>
      <c r="AH225" s="29"/>
      <c r="AI225" s="29"/>
      <c r="AJ225" s="26"/>
    </row>
    <row r="226" spans="5:36" s="27" customFormat="1" ht="15" customHeight="1">
      <c r="E226" s="28"/>
      <c r="F226" s="28"/>
      <c r="G226" s="28"/>
      <c r="H226" s="28"/>
      <c r="I226" s="28"/>
      <c r="L226" s="29"/>
      <c r="M226" s="29"/>
      <c r="N226" s="29"/>
      <c r="O226" s="28"/>
      <c r="P226" s="28"/>
      <c r="S226" s="29"/>
      <c r="T226" s="29"/>
      <c r="U226" s="29"/>
      <c r="V226" s="28"/>
      <c r="W226" s="28"/>
      <c r="Z226" s="29"/>
      <c r="AA226" s="29"/>
      <c r="AB226" s="29"/>
      <c r="AC226" s="28"/>
      <c r="AD226" s="28"/>
      <c r="AG226" s="29"/>
      <c r="AH226" s="29"/>
      <c r="AI226" s="29"/>
      <c r="AJ226" s="26"/>
    </row>
    <row r="227" spans="5:36" s="27" customFormat="1" ht="15" customHeight="1">
      <c r="E227" s="28"/>
      <c r="F227" s="28"/>
      <c r="G227" s="28"/>
      <c r="H227" s="28"/>
      <c r="I227" s="28"/>
      <c r="L227" s="29"/>
      <c r="M227" s="29"/>
      <c r="N227" s="29"/>
      <c r="O227" s="28"/>
      <c r="P227" s="28"/>
      <c r="S227" s="29"/>
      <c r="T227" s="29"/>
      <c r="U227" s="29"/>
      <c r="V227" s="28"/>
      <c r="W227" s="28"/>
      <c r="Z227" s="29"/>
      <c r="AA227" s="29"/>
      <c r="AB227" s="29"/>
      <c r="AC227" s="28"/>
      <c r="AD227" s="28"/>
      <c r="AG227" s="29"/>
      <c r="AH227" s="29"/>
      <c r="AI227" s="29"/>
      <c r="AJ227" s="26"/>
    </row>
    <row r="228" spans="5:36" s="27" customFormat="1" ht="15" customHeight="1">
      <c r="E228" s="28"/>
      <c r="F228" s="28"/>
      <c r="G228" s="28"/>
      <c r="H228" s="28"/>
      <c r="I228" s="28"/>
      <c r="L228" s="29"/>
      <c r="M228" s="29"/>
      <c r="N228" s="29"/>
      <c r="O228" s="28"/>
      <c r="P228" s="28"/>
      <c r="S228" s="29"/>
      <c r="T228" s="29"/>
      <c r="U228" s="29"/>
      <c r="V228" s="28"/>
      <c r="W228" s="28"/>
      <c r="Z228" s="29"/>
      <c r="AA228" s="29"/>
      <c r="AB228" s="29"/>
      <c r="AC228" s="28"/>
      <c r="AD228" s="28"/>
      <c r="AG228" s="29"/>
      <c r="AH228" s="29"/>
      <c r="AI228" s="29"/>
      <c r="AJ228" s="26"/>
    </row>
    <row r="229" spans="5:36" s="27" customFormat="1" ht="15" customHeight="1">
      <c r="E229" s="28"/>
      <c r="F229" s="28"/>
      <c r="G229" s="28"/>
      <c r="H229" s="28"/>
      <c r="I229" s="28"/>
      <c r="L229" s="29"/>
      <c r="M229" s="29"/>
      <c r="N229" s="29"/>
      <c r="O229" s="28"/>
      <c r="P229" s="28"/>
      <c r="S229" s="29"/>
      <c r="T229" s="29"/>
      <c r="U229" s="29"/>
      <c r="V229" s="28"/>
      <c r="W229" s="28"/>
      <c r="Z229" s="29"/>
      <c r="AA229" s="29"/>
      <c r="AB229" s="29"/>
      <c r="AC229" s="28"/>
      <c r="AD229" s="28"/>
      <c r="AG229" s="29"/>
      <c r="AH229" s="29"/>
      <c r="AI229" s="29"/>
      <c r="AJ229" s="26"/>
    </row>
    <row r="230" spans="5:36" s="27" customFormat="1" ht="15" customHeight="1">
      <c r="E230" s="28"/>
      <c r="F230" s="28"/>
      <c r="G230" s="28"/>
      <c r="H230" s="28"/>
      <c r="I230" s="28"/>
      <c r="L230" s="29"/>
      <c r="M230" s="29"/>
      <c r="N230" s="29"/>
      <c r="O230" s="28"/>
      <c r="P230" s="28"/>
      <c r="S230" s="29"/>
      <c r="T230" s="29"/>
      <c r="U230" s="29"/>
      <c r="V230" s="28"/>
      <c r="W230" s="28"/>
      <c r="Z230" s="29"/>
      <c r="AA230" s="29"/>
      <c r="AB230" s="29"/>
      <c r="AC230" s="28"/>
      <c r="AD230" s="28"/>
      <c r="AG230" s="29"/>
      <c r="AH230" s="29"/>
      <c r="AI230" s="29"/>
      <c r="AJ230" s="26"/>
    </row>
    <row r="231" spans="5:36" s="27" customFormat="1" ht="15" customHeight="1">
      <c r="E231" s="28"/>
      <c r="F231" s="28"/>
      <c r="G231" s="28"/>
      <c r="H231" s="28"/>
      <c r="I231" s="28"/>
      <c r="L231" s="29"/>
      <c r="M231" s="29"/>
      <c r="N231" s="29"/>
      <c r="O231" s="28"/>
      <c r="P231" s="28"/>
      <c r="S231" s="29"/>
      <c r="T231" s="29"/>
      <c r="U231" s="29"/>
      <c r="V231" s="28"/>
      <c r="W231" s="28"/>
      <c r="Z231" s="29"/>
      <c r="AA231" s="29"/>
      <c r="AB231" s="29"/>
      <c r="AC231" s="28"/>
      <c r="AD231" s="28"/>
      <c r="AG231" s="29"/>
      <c r="AH231" s="29"/>
      <c r="AI231" s="29"/>
      <c r="AJ231" s="26"/>
    </row>
    <row r="232" spans="5:36" s="27" customFormat="1" ht="15" customHeight="1">
      <c r="E232" s="28"/>
      <c r="F232" s="28"/>
      <c r="G232" s="28"/>
      <c r="H232" s="28"/>
      <c r="I232" s="28"/>
      <c r="L232" s="29"/>
      <c r="M232" s="29"/>
      <c r="N232" s="29"/>
      <c r="O232" s="28"/>
      <c r="P232" s="28"/>
      <c r="S232" s="29"/>
      <c r="T232" s="29"/>
      <c r="U232" s="29"/>
      <c r="V232" s="28"/>
      <c r="W232" s="28"/>
      <c r="Z232" s="29"/>
      <c r="AA232" s="29"/>
      <c r="AB232" s="29"/>
      <c r="AC232" s="28"/>
      <c r="AD232" s="28"/>
      <c r="AG232" s="29"/>
      <c r="AH232" s="29"/>
      <c r="AI232" s="29"/>
      <c r="AJ232" s="26"/>
    </row>
    <row r="233" spans="5:36" s="27" customFormat="1" ht="15" customHeight="1">
      <c r="E233" s="28"/>
      <c r="F233" s="28"/>
      <c r="G233" s="28"/>
      <c r="H233" s="28"/>
      <c r="I233" s="28"/>
      <c r="L233" s="29"/>
      <c r="M233" s="29"/>
      <c r="N233" s="29"/>
      <c r="O233" s="28"/>
      <c r="P233" s="28"/>
      <c r="S233" s="29"/>
      <c r="T233" s="29"/>
      <c r="U233" s="29"/>
      <c r="V233" s="28"/>
      <c r="W233" s="28"/>
      <c r="Z233" s="29"/>
      <c r="AA233" s="29"/>
      <c r="AB233" s="29"/>
      <c r="AC233" s="28"/>
      <c r="AD233" s="28"/>
      <c r="AG233" s="29"/>
      <c r="AH233" s="29"/>
      <c r="AI233" s="29"/>
      <c r="AJ233" s="26"/>
    </row>
    <row r="234" spans="5:36" s="27" customFormat="1" ht="15" customHeight="1">
      <c r="E234" s="28"/>
      <c r="F234" s="28"/>
      <c r="G234" s="28"/>
      <c r="H234" s="28"/>
      <c r="I234" s="28"/>
      <c r="L234" s="29"/>
      <c r="M234" s="29"/>
      <c r="N234" s="29"/>
      <c r="O234" s="28"/>
      <c r="P234" s="28"/>
      <c r="S234" s="29"/>
      <c r="T234" s="29"/>
      <c r="U234" s="29"/>
      <c r="V234" s="28"/>
      <c r="W234" s="28"/>
      <c r="Z234" s="29"/>
      <c r="AA234" s="29"/>
      <c r="AB234" s="29"/>
      <c r="AC234" s="28"/>
      <c r="AD234" s="28"/>
      <c r="AG234" s="29"/>
      <c r="AH234" s="29"/>
      <c r="AI234" s="29"/>
      <c r="AJ234" s="26"/>
    </row>
    <row r="235" spans="5:36" s="27" customFormat="1" ht="15" customHeight="1">
      <c r="E235" s="28"/>
      <c r="F235" s="28"/>
      <c r="G235" s="28"/>
      <c r="H235" s="28"/>
      <c r="I235" s="28"/>
      <c r="L235" s="29"/>
      <c r="M235" s="29"/>
      <c r="N235" s="29"/>
      <c r="O235" s="28"/>
      <c r="P235" s="28"/>
      <c r="S235" s="29"/>
      <c r="T235" s="29"/>
      <c r="U235" s="29"/>
      <c r="V235" s="28"/>
      <c r="W235" s="28"/>
      <c r="Z235" s="29"/>
      <c r="AA235" s="29"/>
      <c r="AB235" s="29"/>
      <c r="AC235" s="28"/>
      <c r="AD235" s="28"/>
      <c r="AG235" s="29"/>
      <c r="AH235" s="29"/>
      <c r="AI235" s="29"/>
      <c r="AJ235" s="26"/>
    </row>
    <row r="236" spans="5:36" s="27" customFormat="1" ht="15" customHeight="1">
      <c r="E236" s="28"/>
      <c r="F236" s="28"/>
      <c r="G236" s="28"/>
      <c r="H236" s="28"/>
      <c r="I236" s="28"/>
      <c r="L236" s="29"/>
      <c r="M236" s="29"/>
      <c r="N236" s="29"/>
      <c r="O236" s="28"/>
      <c r="P236" s="28"/>
      <c r="S236" s="29"/>
      <c r="T236" s="29"/>
      <c r="U236" s="29"/>
      <c r="V236" s="28"/>
      <c r="W236" s="28"/>
      <c r="Z236" s="29"/>
      <c r="AA236" s="29"/>
      <c r="AB236" s="29"/>
      <c r="AC236" s="28"/>
      <c r="AD236" s="28"/>
      <c r="AG236" s="29"/>
      <c r="AH236" s="29"/>
      <c r="AI236" s="29"/>
      <c r="AJ236" s="26"/>
    </row>
    <row r="237" spans="5:36" s="27" customFormat="1" ht="15" customHeight="1">
      <c r="E237" s="28"/>
      <c r="F237" s="28"/>
      <c r="G237" s="28"/>
      <c r="H237" s="28"/>
      <c r="I237" s="28"/>
      <c r="L237" s="29"/>
      <c r="M237" s="29"/>
      <c r="N237" s="29"/>
      <c r="O237" s="28"/>
      <c r="P237" s="28"/>
      <c r="S237" s="29"/>
      <c r="T237" s="29"/>
      <c r="U237" s="29"/>
      <c r="V237" s="28"/>
      <c r="W237" s="28"/>
      <c r="Z237" s="29"/>
      <c r="AA237" s="29"/>
      <c r="AB237" s="29"/>
      <c r="AC237" s="28"/>
      <c r="AD237" s="28"/>
      <c r="AG237" s="29"/>
      <c r="AH237" s="29"/>
      <c r="AI237" s="29"/>
      <c r="AJ237" s="26"/>
    </row>
    <row r="238" spans="5:36" s="27" customFormat="1" ht="15" customHeight="1">
      <c r="E238" s="28"/>
      <c r="F238" s="28"/>
      <c r="G238" s="28"/>
      <c r="H238" s="28"/>
      <c r="I238" s="28"/>
      <c r="L238" s="29"/>
      <c r="M238" s="29"/>
      <c r="N238" s="29"/>
      <c r="O238" s="28"/>
      <c r="P238" s="28"/>
      <c r="S238" s="29"/>
      <c r="T238" s="29"/>
      <c r="U238" s="29"/>
      <c r="V238" s="28"/>
      <c r="W238" s="28"/>
      <c r="Z238" s="29"/>
      <c r="AA238" s="29"/>
      <c r="AB238" s="29"/>
      <c r="AC238" s="28"/>
      <c r="AD238" s="28"/>
      <c r="AG238" s="29"/>
      <c r="AH238" s="29"/>
      <c r="AI238" s="29"/>
      <c r="AJ238" s="26"/>
    </row>
    <row r="239" spans="5:36" s="27" customFormat="1" ht="15" customHeight="1">
      <c r="E239" s="28"/>
      <c r="F239" s="28"/>
      <c r="G239" s="28"/>
      <c r="H239" s="28"/>
      <c r="I239" s="28"/>
      <c r="L239" s="29"/>
      <c r="M239" s="29"/>
      <c r="N239" s="29"/>
      <c r="O239" s="28"/>
      <c r="P239" s="28"/>
      <c r="S239" s="29"/>
      <c r="T239" s="29"/>
      <c r="U239" s="29"/>
      <c r="V239" s="28"/>
      <c r="W239" s="28"/>
      <c r="Z239" s="29"/>
      <c r="AA239" s="29"/>
      <c r="AB239" s="29"/>
      <c r="AC239" s="28"/>
      <c r="AD239" s="28"/>
      <c r="AG239" s="29"/>
      <c r="AH239" s="29"/>
      <c r="AI239" s="29"/>
      <c r="AJ239" s="26"/>
    </row>
    <row r="240" spans="5:36" s="27" customFormat="1" ht="15" customHeight="1">
      <c r="E240" s="28"/>
      <c r="F240" s="28"/>
      <c r="G240" s="28"/>
      <c r="H240" s="28"/>
      <c r="I240" s="28"/>
      <c r="L240" s="29"/>
      <c r="M240" s="29"/>
      <c r="N240" s="29"/>
      <c r="O240" s="28"/>
      <c r="P240" s="28"/>
      <c r="S240" s="29"/>
      <c r="T240" s="29"/>
      <c r="U240" s="29"/>
      <c r="V240" s="28"/>
      <c r="W240" s="28"/>
      <c r="Z240" s="29"/>
      <c r="AA240" s="29"/>
      <c r="AB240" s="29"/>
      <c r="AC240" s="28"/>
      <c r="AD240" s="28"/>
      <c r="AG240" s="29"/>
      <c r="AH240" s="29"/>
      <c r="AI240" s="29"/>
      <c r="AJ240" s="26"/>
    </row>
    <row r="241" spans="5:36" s="27" customFormat="1" ht="15" customHeight="1">
      <c r="E241" s="28"/>
      <c r="F241" s="28"/>
      <c r="G241" s="28"/>
      <c r="H241" s="28"/>
      <c r="I241" s="28"/>
      <c r="L241" s="29"/>
      <c r="M241" s="29"/>
      <c r="N241" s="29"/>
      <c r="O241" s="28"/>
      <c r="P241" s="28"/>
      <c r="S241" s="29"/>
      <c r="T241" s="29"/>
      <c r="U241" s="29"/>
      <c r="V241" s="28"/>
      <c r="W241" s="28"/>
      <c r="Z241" s="29"/>
      <c r="AA241" s="29"/>
      <c r="AB241" s="29"/>
      <c r="AC241" s="28"/>
      <c r="AD241" s="28"/>
      <c r="AG241" s="29"/>
      <c r="AH241" s="29"/>
      <c r="AI241" s="29"/>
      <c r="AJ241" s="26"/>
    </row>
    <row r="242" spans="5:36" s="27" customFormat="1" ht="15" customHeight="1">
      <c r="E242" s="28"/>
      <c r="F242" s="28"/>
      <c r="G242" s="28"/>
      <c r="H242" s="28"/>
      <c r="I242" s="28"/>
      <c r="L242" s="29"/>
      <c r="M242" s="29"/>
      <c r="N242" s="29"/>
      <c r="O242" s="28"/>
      <c r="P242" s="28"/>
      <c r="S242" s="29"/>
      <c r="T242" s="29"/>
      <c r="U242" s="29"/>
      <c r="V242" s="28"/>
      <c r="W242" s="28"/>
      <c r="Z242" s="29"/>
      <c r="AA242" s="29"/>
      <c r="AB242" s="29"/>
      <c r="AC242" s="28"/>
      <c r="AD242" s="28"/>
      <c r="AG242" s="29"/>
      <c r="AH242" s="29"/>
      <c r="AI242" s="29"/>
      <c r="AJ242" s="26"/>
    </row>
    <row r="243" spans="5:36" s="27" customFormat="1" ht="15" customHeight="1">
      <c r="E243" s="28"/>
      <c r="F243" s="28"/>
      <c r="G243" s="28"/>
      <c r="H243" s="28"/>
      <c r="I243" s="28"/>
      <c r="L243" s="29"/>
      <c r="M243" s="29"/>
      <c r="N243" s="29"/>
      <c r="O243" s="28"/>
      <c r="P243" s="28"/>
      <c r="S243" s="29"/>
      <c r="T243" s="29"/>
      <c r="U243" s="29"/>
      <c r="V243" s="28"/>
      <c r="W243" s="28"/>
      <c r="Z243" s="29"/>
      <c r="AA243" s="29"/>
      <c r="AB243" s="29"/>
      <c r="AC243" s="28"/>
      <c r="AD243" s="28"/>
      <c r="AG243" s="29"/>
      <c r="AH243" s="29"/>
      <c r="AI243" s="29"/>
      <c r="AJ243" s="26"/>
    </row>
    <row r="244" spans="5:36" s="27" customFormat="1" ht="15" customHeight="1">
      <c r="E244" s="28"/>
      <c r="F244" s="28"/>
      <c r="G244" s="28"/>
      <c r="H244" s="28"/>
      <c r="I244" s="28"/>
      <c r="L244" s="29"/>
      <c r="M244" s="29"/>
      <c r="N244" s="29"/>
      <c r="O244" s="28"/>
      <c r="P244" s="28"/>
      <c r="S244" s="29"/>
      <c r="T244" s="29"/>
      <c r="U244" s="29"/>
      <c r="V244" s="28"/>
      <c r="W244" s="28"/>
      <c r="Z244" s="29"/>
      <c r="AA244" s="29"/>
      <c r="AB244" s="29"/>
      <c r="AC244" s="28"/>
      <c r="AD244" s="28"/>
      <c r="AG244" s="29"/>
      <c r="AH244" s="29"/>
      <c r="AI244" s="29"/>
      <c r="AJ244" s="26"/>
    </row>
    <row r="245" spans="5:36" s="27" customFormat="1" ht="15" customHeight="1">
      <c r="E245" s="28"/>
      <c r="F245" s="28"/>
      <c r="G245" s="28"/>
      <c r="H245" s="28"/>
      <c r="I245" s="28"/>
      <c r="L245" s="29"/>
      <c r="M245" s="29"/>
      <c r="N245" s="29"/>
      <c r="O245" s="28"/>
      <c r="P245" s="28"/>
      <c r="S245" s="29"/>
      <c r="T245" s="29"/>
      <c r="U245" s="29"/>
      <c r="V245" s="28"/>
      <c r="W245" s="28"/>
      <c r="Z245" s="29"/>
      <c r="AA245" s="29"/>
      <c r="AB245" s="29"/>
      <c r="AC245" s="28"/>
      <c r="AD245" s="28"/>
      <c r="AG245" s="29"/>
      <c r="AH245" s="29"/>
      <c r="AI245" s="29"/>
      <c r="AJ245" s="26"/>
    </row>
    <row r="246" spans="5:36" s="27" customFormat="1" ht="15" customHeight="1">
      <c r="E246" s="28"/>
      <c r="F246" s="28"/>
      <c r="G246" s="28"/>
      <c r="H246" s="28"/>
      <c r="I246" s="28"/>
      <c r="L246" s="29"/>
      <c r="M246" s="29"/>
      <c r="N246" s="29"/>
      <c r="O246" s="28"/>
      <c r="P246" s="28"/>
      <c r="S246" s="29"/>
      <c r="T246" s="29"/>
      <c r="U246" s="29"/>
      <c r="V246" s="28"/>
      <c r="W246" s="28"/>
      <c r="Z246" s="29"/>
      <c r="AA246" s="29"/>
      <c r="AB246" s="29"/>
      <c r="AC246" s="28"/>
      <c r="AD246" s="28"/>
      <c r="AG246" s="29"/>
      <c r="AH246" s="29"/>
      <c r="AI246" s="29"/>
      <c r="AJ246" s="26"/>
    </row>
    <row r="247" spans="5:36" s="27" customFormat="1" ht="15" customHeight="1">
      <c r="E247" s="28"/>
      <c r="F247" s="28"/>
      <c r="G247" s="28"/>
      <c r="H247" s="28"/>
      <c r="I247" s="28"/>
      <c r="L247" s="29"/>
      <c r="M247" s="29"/>
      <c r="N247" s="29"/>
      <c r="O247" s="28"/>
      <c r="P247" s="28"/>
      <c r="S247" s="29"/>
      <c r="T247" s="29"/>
      <c r="U247" s="29"/>
      <c r="V247" s="28"/>
      <c r="W247" s="28"/>
      <c r="Z247" s="29"/>
      <c r="AA247" s="29"/>
      <c r="AB247" s="29"/>
      <c r="AC247" s="28"/>
      <c r="AD247" s="28"/>
      <c r="AG247" s="29"/>
      <c r="AH247" s="29"/>
      <c r="AI247" s="29"/>
      <c r="AJ247" s="26"/>
    </row>
    <row r="248" spans="5:36" s="27" customFormat="1" ht="15" customHeight="1">
      <c r="E248" s="28"/>
      <c r="F248" s="28"/>
      <c r="G248" s="28"/>
      <c r="H248" s="28"/>
      <c r="I248" s="28"/>
      <c r="L248" s="29"/>
      <c r="M248" s="29"/>
      <c r="N248" s="29"/>
      <c r="O248" s="28"/>
      <c r="P248" s="28"/>
      <c r="S248" s="29"/>
      <c r="T248" s="29"/>
      <c r="U248" s="29"/>
      <c r="V248" s="28"/>
      <c r="W248" s="28"/>
      <c r="Z248" s="29"/>
      <c r="AA248" s="29"/>
      <c r="AB248" s="29"/>
      <c r="AC248" s="28"/>
      <c r="AD248" s="28"/>
      <c r="AG248" s="29"/>
      <c r="AH248" s="29"/>
      <c r="AI248" s="29"/>
      <c r="AJ248" s="26"/>
    </row>
    <row r="249" spans="5:36" s="27" customFormat="1" ht="15" customHeight="1">
      <c r="E249" s="28"/>
      <c r="F249" s="28"/>
      <c r="G249" s="28"/>
      <c r="H249" s="28"/>
      <c r="I249" s="28"/>
      <c r="L249" s="29"/>
      <c r="M249" s="29"/>
      <c r="N249" s="29"/>
      <c r="O249" s="28"/>
      <c r="P249" s="28"/>
      <c r="S249" s="29"/>
      <c r="T249" s="29"/>
      <c r="U249" s="29"/>
      <c r="V249" s="28"/>
      <c r="W249" s="28"/>
      <c r="Z249" s="29"/>
      <c r="AA249" s="29"/>
      <c r="AB249" s="29"/>
      <c r="AC249" s="28"/>
      <c r="AD249" s="28"/>
      <c r="AG249" s="29"/>
      <c r="AH249" s="29"/>
      <c r="AI249" s="29"/>
      <c r="AJ249" s="26"/>
    </row>
    <row r="250" spans="5:36" s="27" customFormat="1" ht="15" customHeight="1">
      <c r="E250" s="28"/>
      <c r="F250" s="28"/>
      <c r="G250" s="28"/>
      <c r="H250" s="28"/>
      <c r="I250" s="28"/>
      <c r="L250" s="29"/>
      <c r="M250" s="29"/>
      <c r="N250" s="29"/>
      <c r="O250" s="28"/>
      <c r="P250" s="28"/>
      <c r="S250" s="29"/>
      <c r="T250" s="29"/>
      <c r="U250" s="29"/>
      <c r="V250" s="28"/>
      <c r="W250" s="28"/>
      <c r="Z250" s="29"/>
      <c r="AA250" s="29"/>
      <c r="AB250" s="29"/>
      <c r="AC250" s="28"/>
      <c r="AD250" s="28"/>
      <c r="AG250" s="29"/>
      <c r="AH250" s="29"/>
      <c r="AI250" s="29"/>
      <c r="AJ250" s="26"/>
    </row>
    <row r="251" spans="5:36" s="27" customFormat="1" ht="15" customHeight="1">
      <c r="E251" s="28"/>
      <c r="F251" s="28"/>
      <c r="G251" s="28"/>
      <c r="H251" s="28"/>
      <c r="I251" s="28"/>
      <c r="L251" s="29"/>
      <c r="M251" s="29"/>
      <c r="N251" s="29"/>
      <c r="O251" s="28"/>
      <c r="P251" s="28"/>
      <c r="S251" s="29"/>
      <c r="T251" s="29"/>
      <c r="U251" s="29"/>
      <c r="V251" s="28"/>
      <c r="W251" s="28"/>
      <c r="Z251" s="29"/>
      <c r="AA251" s="29"/>
      <c r="AB251" s="29"/>
      <c r="AC251" s="28"/>
      <c r="AD251" s="28"/>
      <c r="AG251" s="29"/>
      <c r="AH251" s="29"/>
      <c r="AI251" s="29"/>
      <c r="AJ251" s="26"/>
    </row>
    <row r="252" spans="5:36" s="27" customFormat="1" ht="15" customHeight="1">
      <c r="E252" s="28"/>
      <c r="F252" s="28"/>
      <c r="G252" s="28"/>
      <c r="H252" s="28"/>
      <c r="I252" s="28"/>
      <c r="L252" s="29"/>
      <c r="M252" s="29"/>
      <c r="N252" s="29"/>
      <c r="O252" s="28"/>
      <c r="P252" s="28"/>
      <c r="S252" s="29"/>
      <c r="T252" s="29"/>
      <c r="U252" s="29"/>
      <c r="V252" s="28"/>
      <c r="W252" s="28"/>
      <c r="Z252" s="29"/>
      <c r="AA252" s="29"/>
      <c r="AB252" s="29"/>
      <c r="AC252" s="28"/>
      <c r="AD252" s="28"/>
      <c r="AG252" s="29"/>
      <c r="AH252" s="29"/>
      <c r="AI252" s="29"/>
      <c r="AJ252" s="26"/>
    </row>
    <row r="253" spans="5:36" s="27" customFormat="1" ht="15" customHeight="1">
      <c r="E253" s="28"/>
      <c r="F253" s="28"/>
      <c r="G253" s="28"/>
      <c r="H253" s="28"/>
      <c r="I253" s="28"/>
      <c r="L253" s="29"/>
      <c r="M253" s="29"/>
      <c r="N253" s="29"/>
      <c r="O253" s="28"/>
      <c r="P253" s="28"/>
      <c r="S253" s="29"/>
      <c r="T253" s="29"/>
      <c r="U253" s="29"/>
      <c r="V253" s="28"/>
      <c r="W253" s="28"/>
      <c r="Z253" s="29"/>
      <c r="AA253" s="29"/>
      <c r="AB253" s="29"/>
      <c r="AC253" s="28"/>
      <c r="AD253" s="28"/>
      <c r="AG253" s="29"/>
      <c r="AH253" s="29"/>
      <c r="AI253" s="29"/>
      <c r="AJ253" s="26"/>
    </row>
    <row r="254" spans="5:36" s="27" customFormat="1" ht="15" customHeight="1">
      <c r="E254" s="28"/>
      <c r="F254" s="28"/>
      <c r="G254" s="28"/>
      <c r="H254" s="28"/>
      <c r="I254" s="28"/>
      <c r="L254" s="29"/>
      <c r="M254" s="29"/>
      <c r="N254" s="29"/>
      <c r="O254" s="28"/>
      <c r="P254" s="28"/>
      <c r="S254" s="29"/>
      <c r="T254" s="29"/>
      <c r="U254" s="29"/>
      <c r="V254" s="28"/>
      <c r="W254" s="28"/>
      <c r="Z254" s="29"/>
      <c r="AA254" s="29"/>
      <c r="AB254" s="29"/>
      <c r="AC254" s="28"/>
      <c r="AD254" s="28"/>
      <c r="AG254" s="29"/>
      <c r="AH254" s="29"/>
      <c r="AI254" s="29"/>
      <c r="AJ254" s="26"/>
    </row>
    <row r="255" spans="5:36" s="27" customFormat="1" ht="15" customHeight="1">
      <c r="E255" s="28"/>
      <c r="F255" s="28"/>
      <c r="G255" s="28"/>
      <c r="H255" s="28"/>
      <c r="I255" s="28"/>
      <c r="L255" s="29"/>
      <c r="M255" s="29"/>
      <c r="N255" s="29"/>
      <c r="O255" s="28"/>
      <c r="P255" s="28"/>
      <c r="S255" s="29"/>
      <c r="T255" s="29"/>
      <c r="U255" s="29"/>
      <c r="V255" s="28"/>
      <c r="W255" s="28"/>
      <c r="Z255" s="29"/>
      <c r="AA255" s="29"/>
      <c r="AB255" s="29"/>
      <c r="AC255" s="28"/>
      <c r="AD255" s="28"/>
      <c r="AG255" s="29"/>
      <c r="AH255" s="29"/>
      <c r="AI255" s="29"/>
      <c r="AJ255" s="26"/>
    </row>
    <row r="256" spans="5:36" s="27" customFormat="1" ht="15" customHeight="1">
      <c r="E256" s="28"/>
      <c r="F256" s="28"/>
      <c r="G256" s="28"/>
      <c r="H256" s="28"/>
      <c r="I256" s="28"/>
      <c r="L256" s="29"/>
      <c r="M256" s="29"/>
      <c r="N256" s="29"/>
      <c r="O256" s="28"/>
      <c r="P256" s="28"/>
      <c r="S256" s="29"/>
      <c r="T256" s="29"/>
      <c r="U256" s="29"/>
      <c r="V256" s="28"/>
      <c r="W256" s="28"/>
      <c r="Z256" s="29"/>
      <c r="AA256" s="29"/>
      <c r="AB256" s="29"/>
      <c r="AC256" s="28"/>
      <c r="AD256" s="28"/>
      <c r="AG256" s="29"/>
      <c r="AH256" s="29"/>
      <c r="AI256" s="29"/>
      <c r="AJ256" s="26"/>
    </row>
    <row r="257" spans="5:36" s="27" customFormat="1" ht="15" customHeight="1">
      <c r="E257" s="28"/>
      <c r="F257" s="28"/>
      <c r="G257" s="28"/>
      <c r="H257" s="28"/>
      <c r="I257" s="28"/>
      <c r="L257" s="29"/>
      <c r="M257" s="29"/>
      <c r="N257" s="29"/>
      <c r="O257" s="28"/>
      <c r="P257" s="28"/>
      <c r="S257" s="29"/>
      <c r="T257" s="29"/>
      <c r="U257" s="29"/>
      <c r="V257" s="28"/>
      <c r="W257" s="28"/>
      <c r="Z257" s="29"/>
      <c r="AA257" s="29"/>
      <c r="AB257" s="29"/>
      <c r="AC257" s="28"/>
      <c r="AD257" s="28"/>
      <c r="AG257" s="29"/>
      <c r="AH257" s="29"/>
      <c r="AI257" s="29"/>
      <c r="AJ257" s="26"/>
    </row>
    <row r="258" spans="5:36" s="27" customFormat="1" ht="15" customHeight="1">
      <c r="E258" s="28"/>
      <c r="F258" s="28"/>
      <c r="G258" s="28"/>
      <c r="H258" s="28"/>
      <c r="I258" s="28"/>
      <c r="L258" s="29"/>
      <c r="M258" s="29"/>
      <c r="N258" s="29"/>
      <c r="O258" s="28"/>
      <c r="P258" s="28"/>
      <c r="S258" s="29"/>
      <c r="T258" s="29"/>
      <c r="U258" s="29"/>
      <c r="V258" s="28"/>
      <c r="W258" s="28"/>
      <c r="Z258" s="29"/>
      <c r="AA258" s="29"/>
      <c r="AB258" s="29"/>
      <c r="AC258" s="28"/>
      <c r="AD258" s="28"/>
      <c r="AG258" s="29"/>
      <c r="AH258" s="29"/>
      <c r="AI258" s="29"/>
      <c r="AJ258" s="26"/>
    </row>
    <row r="259" spans="5:36" s="27" customFormat="1" ht="15" customHeight="1">
      <c r="E259" s="28"/>
      <c r="F259" s="28"/>
      <c r="G259" s="28"/>
      <c r="H259" s="28"/>
      <c r="I259" s="28"/>
      <c r="L259" s="29"/>
      <c r="M259" s="29"/>
      <c r="N259" s="29"/>
      <c r="O259" s="28"/>
      <c r="P259" s="28"/>
      <c r="S259" s="29"/>
      <c r="T259" s="29"/>
      <c r="U259" s="29"/>
      <c r="V259" s="28"/>
      <c r="W259" s="28"/>
      <c r="Z259" s="29"/>
      <c r="AA259" s="29"/>
      <c r="AB259" s="29"/>
      <c r="AC259" s="28"/>
      <c r="AD259" s="28"/>
      <c r="AG259" s="29"/>
      <c r="AH259" s="29"/>
      <c r="AI259" s="29"/>
      <c r="AJ259" s="26"/>
    </row>
    <row r="260" spans="5:36" s="27" customFormat="1" ht="15" customHeight="1">
      <c r="E260" s="28"/>
      <c r="F260" s="28"/>
      <c r="G260" s="28"/>
      <c r="H260" s="28"/>
      <c r="I260" s="28"/>
      <c r="L260" s="29"/>
      <c r="M260" s="29"/>
      <c r="N260" s="29"/>
      <c r="O260" s="28"/>
      <c r="P260" s="28"/>
      <c r="S260" s="29"/>
      <c r="T260" s="29"/>
      <c r="U260" s="29"/>
      <c r="V260" s="28"/>
      <c r="W260" s="28"/>
      <c r="Z260" s="29"/>
      <c r="AA260" s="29"/>
      <c r="AB260" s="29"/>
      <c r="AC260" s="28"/>
      <c r="AD260" s="28"/>
      <c r="AG260" s="29"/>
      <c r="AH260" s="29"/>
      <c r="AI260" s="29"/>
      <c r="AJ260" s="26"/>
    </row>
    <row r="261" spans="5:36" s="27" customFormat="1" ht="15" customHeight="1">
      <c r="E261" s="28"/>
      <c r="F261" s="28"/>
      <c r="G261" s="28"/>
      <c r="H261" s="28"/>
      <c r="I261" s="28"/>
      <c r="L261" s="29"/>
      <c r="M261" s="29"/>
      <c r="N261" s="29"/>
      <c r="O261" s="28"/>
      <c r="P261" s="28"/>
      <c r="S261" s="29"/>
      <c r="T261" s="29"/>
      <c r="U261" s="29"/>
      <c r="V261" s="28"/>
      <c r="W261" s="28"/>
      <c r="Z261" s="29"/>
      <c r="AA261" s="29"/>
      <c r="AB261" s="29"/>
      <c r="AC261" s="28"/>
      <c r="AD261" s="28"/>
      <c r="AG261" s="29"/>
      <c r="AH261" s="29"/>
      <c r="AI261" s="29"/>
      <c r="AJ261" s="26"/>
    </row>
    <row r="262" spans="5:36" s="27" customFormat="1" ht="15" customHeight="1">
      <c r="E262" s="28"/>
      <c r="F262" s="28"/>
      <c r="G262" s="28"/>
      <c r="H262" s="28"/>
      <c r="I262" s="28"/>
      <c r="L262" s="29"/>
      <c r="M262" s="29"/>
      <c r="N262" s="29"/>
      <c r="O262" s="28"/>
      <c r="P262" s="28"/>
      <c r="S262" s="29"/>
      <c r="T262" s="29"/>
      <c r="U262" s="29"/>
      <c r="V262" s="28"/>
      <c r="W262" s="28"/>
      <c r="Z262" s="29"/>
      <c r="AA262" s="29"/>
      <c r="AB262" s="29"/>
      <c r="AC262" s="28"/>
      <c r="AD262" s="28"/>
      <c r="AG262" s="29"/>
      <c r="AH262" s="29"/>
      <c r="AI262" s="29"/>
      <c r="AJ262" s="26"/>
    </row>
    <row r="263" spans="5:36" s="27" customFormat="1" ht="15" customHeight="1">
      <c r="E263" s="28"/>
      <c r="F263" s="28"/>
      <c r="G263" s="28"/>
      <c r="H263" s="28"/>
      <c r="I263" s="28"/>
      <c r="L263" s="29"/>
      <c r="M263" s="29"/>
      <c r="N263" s="29"/>
      <c r="O263" s="28"/>
      <c r="P263" s="28"/>
      <c r="S263" s="29"/>
      <c r="T263" s="29"/>
      <c r="U263" s="29"/>
      <c r="V263" s="28"/>
      <c r="W263" s="28"/>
      <c r="Z263" s="29"/>
      <c r="AA263" s="29"/>
      <c r="AB263" s="29"/>
      <c r="AC263" s="28"/>
      <c r="AD263" s="28"/>
      <c r="AG263" s="29"/>
      <c r="AH263" s="29"/>
      <c r="AI263" s="29"/>
      <c r="AJ263" s="26"/>
    </row>
    <row r="264" spans="5:36" s="27" customFormat="1" ht="15" customHeight="1">
      <c r="E264" s="28"/>
      <c r="F264" s="28"/>
      <c r="G264" s="28"/>
      <c r="H264" s="28"/>
      <c r="I264" s="28"/>
      <c r="L264" s="29"/>
      <c r="M264" s="29"/>
      <c r="N264" s="29"/>
      <c r="O264" s="28"/>
      <c r="P264" s="28"/>
      <c r="S264" s="29"/>
      <c r="T264" s="29"/>
      <c r="U264" s="29"/>
      <c r="V264" s="28"/>
      <c r="W264" s="28"/>
      <c r="Z264" s="29"/>
      <c r="AA264" s="29"/>
      <c r="AB264" s="29"/>
      <c r="AC264" s="28"/>
      <c r="AD264" s="28"/>
      <c r="AG264" s="29"/>
      <c r="AH264" s="29"/>
      <c r="AI264" s="29"/>
      <c r="AJ264" s="26"/>
    </row>
    <row r="265" spans="5:36" s="27" customFormat="1" ht="15" customHeight="1">
      <c r="E265" s="28"/>
      <c r="F265" s="28"/>
      <c r="G265" s="28"/>
      <c r="H265" s="28"/>
      <c r="I265" s="28"/>
      <c r="L265" s="29"/>
      <c r="M265" s="29"/>
      <c r="N265" s="29"/>
      <c r="O265" s="28"/>
      <c r="P265" s="28"/>
      <c r="S265" s="29"/>
      <c r="T265" s="29"/>
      <c r="U265" s="29"/>
      <c r="V265" s="28"/>
      <c r="W265" s="28"/>
      <c r="Z265" s="29"/>
      <c r="AA265" s="29"/>
      <c r="AB265" s="29"/>
      <c r="AC265" s="28"/>
      <c r="AD265" s="28"/>
      <c r="AG265" s="29"/>
      <c r="AH265" s="29"/>
      <c r="AI265" s="29"/>
      <c r="AJ265" s="26"/>
    </row>
    <row r="266" spans="5:36" s="27" customFormat="1" ht="15" customHeight="1">
      <c r="E266" s="28"/>
      <c r="F266" s="28"/>
      <c r="G266" s="28"/>
      <c r="H266" s="28"/>
      <c r="I266" s="28"/>
      <c r="L266" s="29"/>
      <c r="M266" s="29"/>
      <c r="N266" s="29"/>
      <c r="O266" s="28"/>
      <c r="P266" s="28"/>
      <c r="S266" s="29"/>
      <c r="T266" s="29"/>
      <c r="U266" s="29"/>
      <c r="V266" s="28"/>
      <c r="W266" s="28"/>
      <c r="Z266" s="29"/>
      <c r="AA266" s="29"/>
      <c r="AB266" s="29"/>
      <c r="AC266" s="28"/>
      <c r="AD266" s="28"/>
      <c r="AG266" s="29"/>
      <c r="AH266" s="29"/>
      <c r="AI266" s="29"/>
      <c r="AJ266" s="26"/>
    </row>
    <row r="267" spans="5:36" s="27" customFormat="1" ht="15" customHeight="1">
      <c r="E267" s="28"/>
      <c r="F267" s="28"/>
      <c r="G267" s="28"/>
      <c r="H267" s="28"/>
      <c r="I267" s="28"/>
      <c r="L267" s="29"/>
      <c r="M267" s="29"/>
      <c r="N267" s="29"/>
      <c r="O267" s="28"/>
      <c r="P267" s="28"/>
      <c r="S267" s="29"/>
      <c r="T267" s="29"/>
      <c r="U267" s="29"/>
      <c r="V267" s="28"/>
      <c r="W267" s="28"/>
      <c r="Z267" s="29"/>
      <c r="AA267" s="29"/>
      <c r="AB267" s="29"/>
      <c r="AC267" s="28"/>
      <c r="AD267" s="28"/>
      <c r="AG267" s="29"/>
      <c r="AH267" s="29"/>
      <c r="AI267" s="29"/>
      <c r="AJ267" s="26"/>
    </row>
    <row r="268" spans="5:36" s="27" customFormat="1" ht="15" customHeight="1">
      <c r="E268" s="28"/>
      <c r="F268" s="28"/>
      <c r="G268" s="28"/>
      <c r="H268" s="28"/>
      <c r="I268" s="28"/>
      <c r="L268" s="29"/>
      <c r="M268" s="29"/>
      <c r="N268" s="29"/>
      <c r="O268" s="28"/>
      <c r="P268" s="28"/>
      <c r="S268" s="29"/>
      <c r="T268" s="29"/>
      <c r="U268" s="29"/>
      <c r="V268" s="28"/>
      <c r="W268" s="28"/>
      <c r="Z268" s="29"/>
      <c r="AA268" s="29"/>
      <c r="AB268" s="29"/>
      <c r="AC268" s="28"/>
      <c r="AD268" s="28"/>
      <c r="AG268" s="29"/>
      <c r="AH268" s="29"/>
      <c r="AI268" s="29"/>
      <c r="AJ268" s="26"/>
    </row>
    <row r="269" spans="5:36" s="27" customFormat="1" ht="15" customHeight="1">
      <c r="E269" s="28"/>
      <c r="F269" s="28"/>
      <c r="G269" s="28"/>
      <c r="H269" s="28"/>
      <c r="I269" s="28"/>
      <c r="L269" s="29"/>
      <c r="M269" s="29"/>
      <c r="N269" s="29"/>
      <c r="O269" s="28"/>
      <c r="P269" s="28"/>
      <c r="S269" s="29"/>
      <c r="T269" s="29"/>
      <c r="U269" s="29"/>
      <c r="V269" s="28"/>
      <c r="W269" s="28"/>
      <c r="Z269" s="29"/>
      <c r="AA269" s="29"/>
      <c r="AB269" s="29"/>
      <c r="AC269" s="28"/>
      <c r="AD269" s="28"/>
      <c r="AG269" s="29"/>
      <c r="AH269" s="29"/>
      <c r="AI269" s="29"/>
      <c r="AJ269" s="26"/>
    </row>
    <row r="270" spans="5:36" s="27" customFormat="1" ht="15" customHeight="1">
      <c r="E270" s="28"/>
      <c r="F270" s="28"/>
      <c r="G270" s="28"/>
      <c r="H270" s="28"/>
      <c r="I270" s="28"/>
      <c r="L270" s="29"/>
      <c r="M270" s="29"/>
      <c r="N270" s="29"/>
      <c r="O270" s="28"/>
      <c r="P270" s="28"/>
      <c r="S270" s="29"/>
      <c r="T270" s="29"/>
      <c r="U270" s="29"/>
      <c r="V270" s="28"/>
      <c r="W270" s="28"/>
      <c r="Z270" s="29"/>
      <c r="AA270" s="29"/>
      <c r="AB270" s="29"/>
      <c r="AC270" s="28"/>
      <c r="AD270" s="28"/>
      <c r="AG270" s="29"/>
      <c r="AH270" s="29"/>
      <c r="AI270" s="29"/>
      <c r="AJ270" s="26"/>
    </row>
    <row r="271" spans="5:36" s="27" customFormat="1" ht="15" customHeight="1">
      <c r="E271" s="28"/>
      <c r="F271" s="28"/>
      <c r="G271" s="28"/>
      <c r="H271" s="28"/>
      <c r="I271" s="28"/>
      <c r="L271" s="29"/>
      <c r="M271" s="29"/>
      <c r="N271" s="29"/>
      <c r="O271" s="28"/>
      <c r="P271" s="28"/>
      <c r="S271" s="29"/>
      <c r="T271" s="29"/>
      <c r="U271" s="29"/>
      <c r="V271" s="28"/>
      <c r="W271" s="28"/>
      <c r="Z271" s="29"/>
      <c r="AA271" s="29"/>
      <c r="AB271" s="29"/>
      <c r="AC271" s="28"/>
      <c r="AD271" s="28"/>
      <c r="AG271" s="29"/>
      <c r="AH271" s="29"/>
      <c r="AI271" s="29"/>
      <c r="AJ271" s="26"/>
    </row>
    <row r="272" spans="5:36" s="27" customFormat="1" ht="15" customHeight="1">
      <c r="E272" s="28"/>
      <c r="F272" s="28"/>
      <c r="G272" s="28"/>
      <c r="H272" s="28"/>
      <c r="I272" s="28"/>
      <c r="L272" s="29"/>
      <c r="M272" s="29"/>
      <c r="N272" s="29"/>
      <c r="O272" s="28"/>
      <c r="P272" s="28"/>
      <c r="S272" s="29"/>
      <c r="T272" s="29"/>
      <c r="U272" s="29"/>
      <c r="V272" s="28"/>
      <c r="W272" s="28"/>
      <c r="Z272" s="29"/>
      <c r="AA272" s="29"/>
      <c r="AB272" s="29"/>
      <c r="AC272" s="28"/>
      <c r="AD272" s="28"/>
      <c r="AG272" s="29"/>
      <c r="AH272" s="29"/>
      <c r="AI272" s="29"/>
      <c r="AJ272" s="26"/>
    </row>
    <row r="273" spans="5:36" s="27" customFormat="1" ht="15" customHeight="1">
      <c r="E273" s="28"/>
      <c r="F273" s="28"/>
      <c r="G273" s="28"/>
      <c r="H273" s="28"/>
      <c r="I273" s="28"/>
      <c r="L273" s="29"/>
      <c r="M273" s="29"/>
      <c r="N273" s="29"/>
      <c r="O273" s="28"/>
      <c r="P273" s="28"/>
      <c r="S273" s="29"/>
      <c r="T273" s="29"/>
      <c r="U273" s="29"/>
      <c r="V273" s="28"/>
      <c r="W273" s="28"/>
      <c r="Z273" s="29"/>
      <c r="AA273" s="29"/>
      <c r="AB273" s="29"/>
      <c r="AC273" s="28"/>
      <c r="AD273" s="28"/>
      <c r="AG273" s="29"/>
      <c r="AH273" s="29"/>
      <c r="AI273" s="29"/>
      <c r="AJ273" s="26"/>
    </row>
    <row r="274" spans="5:36" s="27" customFormat="1" ht="15" customHeight="1">
      <c r="E274" s="28"/>
      <c r="F274" s="28"/>
      <c r="G274" s="28"/>
      <c r="H274" s="28"/>
      <c r="I274" s="28"/>
      <c r="L274" s="29"/>
      <c r="M274" s="29"/>
      <c r="N274" s="29"/>
      <c r="O274" s="28"/>
      <c r="P274" s="28"/>
      <c r="S274" s="29"/>
      <c r="T274" s="29"/>
      <c r="U274" s="29"/>
      <c r="V274" s="28"/>
      <c r="W274" s="28"/>
      <c r="Z274" s="29"/>
      <c r="AA274" s="29"/>
      <c r="AB274" s="29"/>
      <c r="AC274" s="28"/>
      <c r="AD274" s="28"/>
      <c r="AG274" s="29"/>
      <c r="AH274" s="29"/>
      <c r="AI274" s="29"/>
      <c r="AJ274" s="26"/>
    </row>
    <row r="275" spans="5:36" s="27" customFormat="1" ht="15" customHeight="1">
      <c r="E275" s="28"/>
      <c r="F275" s="28"/>
      <c r="G275" s="28"/>
      <c r="H275" s="28"/>
      <c r="I275" s="28"/>
      <c r="L275" s="29"/>
      <c r="M275" s="29"/>
      <c r="N275" s="29"/>
      <c r="O275" s="28"/>
      <c r="P275" s="28"/>
      <c r="S275" s="29"/>
      <c r="T275" s="29"/>
      <c r="U275" s="29"/>
      <c r="V275" s="28"/>
      <c r="W275" s="28"/>
      <c r="Z275" s="29"/>
      <c r="AA275" s="29"/>
      <c r="AB275" s="29"/>
      <c r="AC275" s="28"/>
      <c r="AD275" s="28"/>
      <c r="AG275" s="29"/>
      <c r="AH275" s="29"/>
      <c r="AI275" s="29"/>
      <c r="AJ275" s="26"/>
    </row>
    <row r="276" spans="5:36" s="27" customFormat="1" ht="15" customHeight="1">
      <c r="E276" s="28"/>
      <c r="F276" s="28"/>
      <c r="G276" s="28"/>
      <c r="H276" s="28"/>
      <c r="I276" s="28"/>
      <c r="L276" s="29"/>
      <c r="M276" s="29"/>
      <c r="N276" s="29"/>
      <c r="O276" s="28"/>
      <c r="P276" s="28"/>
      <c r="S276" s="29"/>
      <c r="T276" s="29"/>
      <c r="U276" s="29"/>
      <c r="V276" s="28"/>
      <c r="W276" s="28"/>
      <c r="Z276" s="29"/>
      <c r="AA276" s="29"/>
      <c r="AB276" s="29"/>
      <c r="AC276" s="28"/>
      <c r="AD276" s="28"/>
      <c r="AG276" s="29"/>
      <c r="AH276" s="29"/>
      <c r="AI276" s="29"/>
      <c r="AJ276" s="26"/>
    </row>
    <row r="277" spans="5:36" s="27" customFormat="1" ht="15" customHeight="1">
      <c r="E277" s="28"/>
      <c r="F277" s="28"/>
      <c r="G277" s="28"/>
      <c r="H277" s="28"/>
      <c r="I277" s="28"/>
      <c r="L277" s="29"/>
      <c r="M277" s="29"/>
      <c r="N277" s="29"/>
      <c r="O277" s="28"/>
      <c r="P277" s="28"/>
      <c r="S277" s="29"/>
      <c r="T277" s="29"/>
      <c r="U277" s="29"/>
      <c r="V277" s="28"/>
      <c r="W277" s="28"/>
      <c r="Z277" s="29"/>
      <c r="AA277" s="29"/>
      <c r="AB277" s="29"/>
      <c r="AC277" s="28"/>
      <c r="AD277" s="28"/>
      <c r="AG277" s="29"/>
      <c r="AH277" s="29"/>
      <c r="AI277" s="29"/>
      <c r="AJ277" s="26"/>
    </row>
    <row r="278" spans="5:36" s="27" customFormat="1" ht="15" customHeight="1">
      <c r="E278" s="28"/>
      <c r="F278" s="28"/>
      <c r="G278" s="28"/>
      <c r="H278" s="28"/>
      <c r="I278" s="28"/>
      <c r="L278" s="29"/>
      <c r="M278" s="29"/>
      <c r="N278" s="29"/>
      <c r="O278" s="28"/>
      <c r="P278" s="28"/>
      <c r="S278" s="29"/>
      <c r="T278" s="29"/>
      <c r="U278" s="29"/>
      <c r="V278" s="28"/>
      <c r="W278" s="28"/>
      <c r="Z278" s="29"/>
      <c r="AA278" s="29"/>
      <c r="AB278" s="29"/>
      <c r="AC278" s="28"/>
      <c r="AD278" s="28"/>
      <c r="AG278" s="29"/>
      <c r="AH278" s="29"/>
      <c r="AI278" s="29"/>
      <c r="AJ278" s="26"/>
    </row>
    <row r="279" spans="5:36" s="27" customFormat="1" ht="15" customHeight="1">
      <c r="E279" s="28"/>
      <c r="F279" s="28"/>
      <c r="G279" s="28"/>
      <c r="H279" s="28"/>
      <c r="I279" s="28"/>
      <c r="L279" s="29"/>
      <c r="M279" s="29"/>
      <c r="N279" s="29"/>
      <c r="O279" s="28"/>
      <c r="P279" s="28"/>
      <c r="S279" s="29"/>
      <c r="T279" s="29"/>
      <c r="U279" s="29"/>
      <c r="V279" s="28"/>
      <c r="W279" s="28"/>
      <c r="Z279" s="29"/>
      <c r="AA279" s="29"/>
      <c r="AB279" s="29"/>
      <c r="AC279" s="28"/>
      <c r="AD279" s="28"/>
      <c r="AG279" s="29"/>
      <c r="AH279" s="29"/>
      <c r="AI279" s="29"/>
      <c r="AJ279" s="26"/>
    </row>
    <row r="280" spans="5:36" s="27" customFormat="1" ht="15" customHeight="1">
      <c r="E280" s="28"/>
      <c r="F280" s="28"/>
      <c r="G280" s="28"/>
      <c r="H280" s="28"/>
      <c r="I280" s="28"/>
      <c r="L280" s="29"/>
      <c r="M280" s="29"/>
      <c r="N280" s="29"/>
      <c r="O280" s="28"/>
      <c r="P280" s="28"/>
      <c r="S280" s="29"/>
      <c r="T280" s="29"/>
      <c r="U280" s="29"/>
      <c r="V280" s="28"/>
      <c r="W280" s="28"/>
      <c r="Z280" s="29"/>
      <c r="AA280" s="29"/>
      <c r="AB280" s="29"/>
      <c r="AC280" s="28"/>
      <c r="AD280" s="28"/>
      <c r="AG280" s="29"/>
      <c r="AH280" s="29"/>
      <c r="AI280" s="29"/>
      <c r="AJ280" s="26"/>
    </row>
    <row r="281" spans="5:36" s="27" customFormat="1" ht="15" customHeight="1">
      <c r="E281" s="28"/>
      <c r="F281" s="28"/>
      <c r="G281" s="28"/>
      <c r="H281" s="28"/>
      <c r="I281" s="28"/>
      <c r="L281" s="29"/>
      <c r="M281" s="29"/>
      <c r="N281" s="29"/>
      <c r="O281" s="28"/>
      <c r="P281" s="28"/>
      <c r="S281" s="29"/>
      <c r="T281" s="29"/>
      <c r="U281" s="29"/>
      <c r="V281" s="28"/>
      <c r="W281" s="28"/>
      <c r="Z281" s="29"/>
      <c r="AA281" s="29"/>
      <c r="AB281" s="29"/>
      <c r="AC281" s="28"/>
      <c r="AD281" s="28"/>
      <c r="AG281" s="29"/>
      <c r="AH281" s="29"/>
      <c r="AI281" s="29"/>
      <c r="AJ281" s="26"/>
    </row>
    <row r="282" spans="5:36" s="27" customFormat="1" ht="15" customHeight="1">
      <c r="E282" s="28"/>
      <c r="F282" s="28"/>
      <c r="G282" s="28"/>
      <c r="H282" s="28"/>
      <c r="I282" s="28"/>
      <c r="L282" s="29"/>
      <c r="M282" s="29"/>
      <c r="N282" s="29"/>
      <c r="O282" s="28"/>
      <c r="P282" s="28"/>
      <c r="S282" s="29"/>
      <c r="T282" s="29"/>
      <c r="U282" s="29"/>
      <c r="V282" s="28"/>
      <c r="W282" s="28"/>
      <c r="Z282" s="29"/>
      <c r="AA282" s="29"/>
      <c r="AB282" s="29"/>
      <c r="AC282" s="28"/>
      <c r="AD282" s="28"/>
      <c r="AG282" s="29"/>
      <c r="AH282" s="29"/>
      <c r="AI282" s="29"/>
      <c r="AJ282" s="26"/>
    </row>
    <row r="283" spans="5:36" s="27" customFormat="1" ht="15" customHeight="1">
      <c r="E283" s="28"/>
      <c r="F283" s="28"/>
      <c r="G283" s="28"/>
      <c r="H283" s="28"/>
      <c r="I283" s="28"/>
      <c r="L283" s="29"/>
      <c r="M283" s="29"/>
      <c r="N283" s="29"/>
      <c r="O283" s="28"/>
      <c r="P283" s="28"/>
      <c r="S283" s="29"/>
      <c r="T283" s="29"/>
      <c r="U283" s="29"/>
      <c r="V283" s="28"/>
      <c r="W283" s="28"/>
      <c r="Z283" s="29"/>
      <c r="AA283" s="29"/>
      <c r="AB283" s="29"/>
      <c r="AC283" s="28"/>
      <c r="AD283" s="28"/>
      <c r="AG283" s="29"/>
      <c r="AH283" s="29"/>
      <c r="AI283" s="29"/>
      <c r="AJ283" s="26"/>
    </row>
    <row r="284" spans="5:36" s="27" customFormat="1" ht="15" customHeight="1">
      <c r="E284" s="28"/>
      <c r="F284" s="28"/>
      <c r="G284" s="28"/>
      <c r="H284" s="28"/>
      <c r="I284" s="28"/>
      <c r="L284" s="29"/>
      <c r="M284" s="29"/>
      <c r="N284" s="29"/>
      <c r="O284" s="28"/>
      <c r="P284" s="28"/>
      <c r="S284" s="29"/>
      <c r="T284" s="29"/>
      <c r="U284" s="29"/>
      <c r="V284" s="28"/>
      <c r="W284" s="28"/>
      <c r="Z284" s="29"/>
      <c r="AA284" s="29"/>
      <c r="AB284" s="29"/>
      <c r="AC284" s="28"/>
      <c r="AD284" s="28"/>
      <c r="AG284" s="29"/>
      <c r="AH284" s="29"/>
      <c r="AI284" s="29"/>
      <c r="AJ284" s="26"/>
    </row>
    <row r="285" spans="5:36" s="27" customFormat="1" ht="15" customHeight="1">
      <c r="E285" s="28"/>
      <c r="F285" s="28"/>
      <c r="G285" s="28"/>
      <c r="H285" s="28"/>
      <c r="I285" s="28"/>
      <c r="L285" s="29"/>
      <c r="M285" s="29"/>
      <c r="N285" s="29"/>
      <c r="O285" s="28"/>
      <c r="P285" s="28"/>
      <c r="S285" s="29"/>
      <c r="T285" s="29"/>
      <c r="U285" s="29"/>
      <c r="V285" s="28"/>
      <c r="W285" s="28"/>
      <c r="Z285" s="29"/>
      <c r="AA285" s="29"/>
      <c r="AB285" s="29"/>
      <c r="AC285" s="28"/>
      <c r="AD285" s="28"/>
      <c r="AG285" s="29"/>
      <c r="AH285" s="29"/>
      <c r="AI285" s="29"/>
      <c r="AJ285" s="26"/>
    </row>
    <row r="286" spans="5:36" s="27" customFormat="1" ht="15" customHeight="1">
      <c r="E286" s="28"/>
      <c r="F286" s="28"/>
      <c r="G286" s="28"/>
      <c r="H286" s="28"/>
      <c r="I286" s="28"/>
      <c r="L286" s="29"/>
      <c r="M286" s="29"/>
      <c r="N286" s="29"/>
      <c r="O286" s="28"/>
      <c r="P286" s="28"/>
      <c r="S286" s="29"/>
      <c r="T286" s="29"/>
      <c r="U286" s="29"/>
      <c r="V286" s="28"/>
      <c r="W286" s="28"/>
      <c r="Z286" s="29"/>
      <c r="AA286" s="29"/>
      <c r="AB286" s="29"/>
      <c r="AC286" s="28"/>
      <c r="AD286" s="28"/>
      <c r="AG286" s="29"/>
      <c r="AH286" s="29"/>
      <c r="AI286" s="29"/>
      <c r="AJ286" s="26"/>
    </row>
    <row r="287" spans="5:36" s="27" customFormat="1" ht="15" customHeight="1">
      <c r="E287" s="28"/>
      <c r="F287" s="28"/>
      <c r="G287" s="28"/>
      <c r="H287" s="28"/>
      <c r="I287" s="28"/>
      <c r="L287" s="29"/>
      <c r="M287" s="29"/>
      <c r="N287" s="29"/>
      <c r="O287" s="28"/>
      <c r="P287" s="28"/>
      <c r="S287" s="29"/>
      <c r="T287" s="29"/>
      <c r="U287" s="29"/>
      <c r="V287" s="28"/>
      <c r="W287" s="28"/>
      <c r="Z287" s="29"/>
      <c r="AA287" s="29"/>
      <c r="AB287" s="29"/>
      <c r="AC287" s="28"/>
      <c r="AD287" s="28"/>
      <c r="AG287" s="29"/>
      <c r="AH287" s="29"/>
      <c r="AI287" s="29"/>
      <c r="AJ287" s="26"/>
    </row>
    <row r="288" spans="5:36" s="27" customFormat="1" ht="15" customHeight="1">
      <c r="E288" s="28"/>
      <c r="F288" s="28"/>
      <c r="G288" s="28"/>
      <c r="H288" s="28"/>
      <c r="I288" s="28"/>
      <c r="L288" s="29"/>
      <c r="M288" s="29"/>
      <c r="N288" s="29"/>
      <c r="O288" s="28"/>
      <c r="P288" s="28"/>
      <c r="S288" s="29"/>
      <c r="T288" s="29"/>
      <c r="U288" s="29"/>
      <c r="V288" s="28"/>
      <c r="W288" s="28"/>
      <c r="Z288" s="29"/>
      <c r="AA288" s="29"/>
      <c r="AB288" s="29"/>
      <c r="AC288" s="28"/>
      <c r="AD288" s="28"/>
      <c r="AG288" s="29"/>
      <c r="AH288" s="29"/>
      <c r="AI288" s="29"/>
      <c r="AJ288" s="26"/>
    </row>
    <row r="289" spans="5:36" s="27" customFormat="1" ht="15" customHeight="1">
      <c r="E289" s="28"/>
      <c r="F289" s="28"/>
      <c r="G289" s="28"/>
      <c r="H289" s="28"/>
      <c r="I289" s="28"/>
      <c r="L289" s="29"/>
      <c r="M289" s="29"/>
      <c r="N289" s="29"/>
      <c r="O289" s="28"/>
      <c r="P289" s="28"/>
      <c r="S289" s="29"/>
      <c r="T289" s="29"/>
      <c r="U289" s="29"/>
      <c r="V289" s="28"/>
      <c r="W289" s="28"/>
      <c r="Z289" s="29"/>
      <c r="AA289" s="29"/>
      <c r="AB289" s="29"/>
      <c r="AC289" s="28"/>
      <c r="AD289" s="28"/>
      <c r="AG289" s="29"/>
      <c r="AH289" s="29"/>
      <c r="AI289" s="29"/>
      <c r="AJ289" s="26"/>
    </row>
    <row r="290" spans="5:36" s="27" customFormat="1" ht="15" customHeight="1">
      <c r="E290" s="28"/>
      <c r="F290" s="28"/>
      <c r="G290" s="28"/>
      <c r="H290" s="28"/>
      <c r="I290" s="28"/>
      <c r="L290" s="29"/>
      <c r="M290" s="29"/>
      <c r="N290" s="29"/>
      <c r="O290" s="28"/>
      <c r="P290" s="28"/>
      <c r="S290" s="29"/>
      <c r="T290" s="29"/>
      <c r="U290" s="29"/>
      <c r="V290" s="28"/>
      <c r="W290" s="28"/>
      <c r="Z290" s="29"/>
      <c r="AA290" s="29"/>
      <c r="AB290" s="29"/>
      <c r="AC290" s="28"/>
      <c r="AD290" s="28"/>
      <c r="AG290" s="29"/>
      <c r="AH290" s="29"/>
      <c r="AI290" s="29"/>
      <c r="AJ290" s="26"/>
    </row>
    <row r="291" spans="5:36" s="27" customFormat="1" ht="15" customHeight="1">
      <c r="E291" s="28"/>
      <c r="F291" s="28"/>
      <c r="G291" s="28"/>
      <c r="H291" s="28"/>
      <c r="I291" s="28"/>
      <c r="L291" s="29"/>
      <c r="M291" s="29"/>
      <c r="N291" s="29"/>
      <c r="O291" s="28"/>
      <c r="P291" s="28"/>
      <c r="S291" s="29"/>
      <c r="T291" s="29"/>
      <c r="U291" s="29"/>
      <c r="V291" s="28"/>
      <c r="W291" s="28"/>
      <c r="Z291" s="29"/>
      <c r="AA291" s="29"/>
      <c r="AB291" s="29"/>
      <c r="AC291" s="28"/>
      <c r="AD291" s="28"/>
      <c r="AG291" s="29"/>
      <c r="AH291" s="29"/>
      <c r="AI291" s="29"/>
      <c r="AJ291" s="26"/>
    </row>
    <row r="292" spans="5:36" s="27" customFormat="1" ht="15" customHeight="1">
      <c r="E292" s="28"/>
      <c r="F292" s="28"/>
      <c r="G292" s="28"/>
      <c r="H292" s="28"/>
      <c r="I292" s="28"/>
      <c r="L292" s="29"/>
      <c r="M292" s="29"/>
      <c r="N292" s="29"/>
      <c r="O292" s="28"/>
      <c r="P292" s="28"/>
      <c r="S292" s="29"/>
      <c r="T292" s="29"/>
      <c r="U292" s="29"/>
      <c r="V292" s="28"/>
      <c r="W292" s="28"/>
      <c r="Z292" s="29"/>
      <c r="AA292" s="29"/>
      <c r="AB292" s="29"/>
      <c r="AC292" s="28"/>
      <c r="AD292" s="28"/>
      <c r="AG292" s="29"/>
      <c r="AH292" s="29"/>
      <c r="AI292" s="29"/>
      <c r="AJ292" s="26"/>
    </row>
    <row r="293" spans="5:36" s="27" customFormat="1" ht="15" customHeight="1">
      <c r="E293" s="28"/>
      <c r="F293" s="28"/>
      <c r="G293" s="28"/>
      <c r="H293" s="28"/>
      <c r="I293" s="28"/>
      <c r="L293" s="29"/>
      <c r="M293" s="29"/>
      <c r="N293" s="29"/>
      <c r="O293" s="28"/>
      <c r="P293" s="28"/>
      <c r="S293" s="29"/>
      <c r="T293" s="29"/>
      <c r="U293" s="29"/>
      <c r="V293" s="28"/>
      <c r="W293" s="28"/>
      <c r="Z293" s="29"/>
      <c r="AA293" s="29"/>
      <c r="AB293" s="29"/>
      <c r="AC293" s="28"/>
      <c r="AD293" s="28"/>
      <c r="AG293" s="29"/>
      <c r="AH293" s="29"/>
      <c r="AI293" s="29"/>
      <c r="AJ293" s="26"/>
    </row>
    <row r="294" spans="5:36" s="27" customFormat="1" ht="15" customHeight="1">
      <c r="E294" s="28"/>
      <c r="F294" s="28"/>
      <c r="G294" s="28"/>
      <c r="H294" s="28"/>
      <c r="I294" s="28"/>
      <c r="L294" s="29"/>
      <c r="M294" s="29"/>
      <c r="N294" s="29"/>
      <c r="O294" s="28"/>
      <c r="P294" s="28"/>
      <c r="S294" s="29"/>
      <c r="T294" s="29"/>
      <c r="U294" s="29"/>
      <c r="V294" s="28"/>
      <c r="W294" s="28"/>
      <c r="Z294" s="29"/>
      <c r="AA294" s="29"/>
      <c r="AB294" s="29"/>
      <c r="AC294" s="28"/>
      <c r="AD294" s="28"/>
      <c r="AG294" s="29"/>
      <c r="AH294" s="29"/>
      <c r="AI294" s="29"/>
      <c r="AJ294" s="26"/>
    </row>
    <row r="295" spans="5:36" s="27" customFormat="1" ht="15" customHeight="1">
      <c r="E295" s="28"/>
      <c r="F295" s="28"/>
      <c r="G295" s="28"/>
      <c r="H295" s="28"/>
      <c r="I295" s="28"/>
      <c r="L295" s="29"/>
      <c r="M295" s="29"/>
      <c r="N295" s="29"/>
      <c r="O295" s="28"/>
      <c r="P295" s="28"/>
      <c r="S295" s="29"/>
      <c r="T295" s="29"/>
      <c r="U295" s="29"/>
      <c r="V295" s="28"/>
      <c r="W295" s="28"/>
      <c r="Z295" s="29"/>
      <c r="AA295" s="29"/>
      <c r="AB295" s="29"/>
      <c r="AC295" s="28"/>
      <c r="AD295" s="28"/>
      <c r="AG295" s="29"/>
      <c r="AH295" s="29"/>
      <c r="AI295" s="29"/>
      <c r="AJ295" s="26"/>
    </row>
    <row r="296" spans="5:36" s="27" customFormat="1" ht="15" customHeight="1">
      <c r="E296" s="28"/>
      <c r="F296" s="28"/>
      <c r="G296" s="28"/>
      <c r="H296" s="28"/>
      <c r="I296" s="28"/>
      <c r="L296" s="29"/>
      <c r="M296" s="29"/>
      <c r="N296" s="29"/>
      <c r="O296" s="28"/>
      <c r="P296" s="28"/>
      <c r="S296" s="29"/>
      <c r="T296" s="29"/>
      <c r="U296" s="29"/>
      <c r="V296" s="28"/>
      <c r="W296" s="28"/>
      <c r="Z296" s="29"/>
      <c r="AA296" s="29"/>
      <c r="AB296" s="29"/>
      <c r="AC296" s="28"/>
      <c r="AD296" s="28"/>
      <c r="AG296" s="29"/>
      <c r="AH296" s="29"/>
      <c r="AI296" s="29"/>
      <c r="AJ296" s="26"/>
    </row>
    <row r="297" spans="5:36" s="27" customFormat="1" ht="15" customHeight="1">
      <c r="E297" s="28"/>
      <c r="F297" s="28"/>
      <c r="G297" s="28"/>
      <c r="H297" s="28"/>
      <c r="I297" s="28"/>
      <c r="L297" s="29"/>
      <c r="M297" s="29"/>
      <c r="N297" s="29"/>
      <c r="O297" s="28"/>
      <c r="P297" s="28"/>
      <c r="S297" s="29"/>
      <c r="T297" s="29"/>
      <c r="U297" s="29"/>
      <c r="V297" s="28"/>
      <c r="W297" s="28"/>
      <c r="Z297" s="29"/>
      <c r="AA297" s="29"/>
      <c r="AB297" s="29"/>
      <c r="AC297" s="28"/>
      <c r="AD297" s="28"/>
      <c r="AG297" s="29"/>
      <c r="AH297" s="29"/>
      <c r="AI297" s="29"/>
      <c r="AJ297" s="26"/>
    </row>
  </sheetData>
  <mergeCells count="36">
    <mergeCell ref="AJ2:AJ4"/>
    <mergeCell ref="H16:M16"/>
    <mergeCell ref="A9:B9"/>
    <mergeCell ref="H9:I9"/>
    <mergeCell ref="H10:I10"/>
    <mergeCell ref="A11:B11"/>
    <mergeCell ref="H11:I11"/>
    <mergeCell ref="H14:M14"/>
    <mergeCell ref="H15:M15"/>
    <mergeCell ref="D2:G2"/>
    <mergeCell ref="H2:N2"/>
    <mergeCell ref="J4:K4"/>
    <mergeCell ref="AC14:AH14"/>
    <mergeCell ref="AC15:AH15"/>
    <mergeCell ref="O10:P10"/>
    <mergeCell ref="V9:W9"/>
    <mergeCell ref="V10:W10"/>
    <mergeCell ref="AC11:AD11"/>
    <mergeCell ref="O16:T16"/>
    <mergeCell ref="O15:T15"/>
    <mergeCell ref="O14:T14"/>
    <mergeCell ref="O11:P11"/>
    <mergeCell ref="O9:P9"/>
    <mergeCell ref="AC16:AH16"/>
    <mergeCell ref="V14:AA14"/>
    <mergeCell ref="V11:W11"/>
    <mergeCell ref="AC9:AD9"/>
    <mergeCell ref="AC10:AD10"/>
    <mergeCell ref="V15:AA15"/>
    <mergeCell ref="V16:AA16"/>
    <mergeCell ref="AE4:AF4"/>
    <mergeCell ref="X4:Y4"/>
    <mergeCell ref="Q4:R4"/>
    <mergeCell ref="AC2:AI2"/>
    <mergeCell ref="V2:AB2"/>
    <mergeCell ref="O2:U2"/>
  </mergeCells>
  <phoneticPr fontId="6" type="noConversion"/>
  <pageMargins left="0.25" right="0.25" top="0.75" bottom="0.75" header="0.3" footer="0.3"/>
  <pageSetup scale="44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AK297"/>
  <sheetViews>
    <sheetView tabSelected="1" topLeftCell="A2" workbookViewId="0">
      <selection activeCell="AN16" sqref="AN16:AN17"/>
    </sheetView>
  </sheetViews>
  <sheetFormatPr baseColWidth="10" defaultColWidth="8" defaultRowHeight="15" customHeight="1" x14ac:dyDescent="0"/>
  <cols>
    <col min="1" max="1" width="16.5" style="12" customWidth="1"/>
    <col min="2" max="2" width="15.1640625" style="12" customWidth="1"/>
    <col min="3" max="3" width="8.6640625" style="12" customWidth="1"/>
    <col min="4" max="4" width="8.6640625" style="27" customWidth="1"/>
    <col min="5" max="6" width="11.5" style="28" customWidth="1"/>
    <col min="7" max="7" width="8.83203125" style="28" customWidth="1"/>
    <col min="8" max="8" width="22" style="36" customWidth="1"/>
    <col min="9" max="9" width="5.6640625" style="36" customWidth="1"/>
    <col min="10" max="11" width="6" style="12" customWidth="1"/>
    <col min="12" max="13" width="8.1640625" style="37" customWidth="1"/>
    <col min="14" max="14" width="9.5" style="37" customWidth="1"/>
    <col min="15" max="15" width="8.83203125" style="36" hidden="1" customWidth="1"/>
    <col min="16" max="16" width="5.6640625" style="36" hidden="1" customWidth="1"/>
    <col min="17" max="18" width="6" style="12" hidden="1" customWidth="1"/>
    <col min="19" max="19" width="8.1640625" style="37" hidden="1" customWidth="1"/>
    <col min="20" max="21" width="9.6640625" style="37" hidden="1" customWidth="1"/>
    <col min="22" max="22" width="9.83203125" style="36" hidden="1" customWidth="1"/>
    <col min="23" max="23" width="5.6640625" style="36" hidden="1" customWidth="1"/>
    <col min="24" max="25" width="6" style="12" hidden="1" customWidth="1"/>
    <col min="26" max="26" width="8.1640625" style="37" hidden="1" customWidth="1"/>
    <col min="27" max="28" width="9.6640625" style="37" hidden="1" customWidth="1"/>
    <col min="29" max="29" width="9.83203125" style="36" hidden="1" customWidth="1"/>
    <col min="30" max="30" width="5.6640625" style="36" hidden="1" customWidth="1"/>
    <col min="31" max="32" width="6" style="12" hidden="1" customWidth="1"/>
    <col min="33" max="33" width="8.1640625" style="37" hidden="1" customWidth="1"/>
    <col min="34" max="34" width="9.6640625" style="37" hidden="1" customWidth="1"/>
    <col min="35" max="35" width="9.5" style="37" hidden="1" customWidth="1"/>
    <col min="36" max="36" width="10.1640625" style="46" hidden="1" customWidth="1"/>
    <col min="37" max="37" width="8" style="12"/>
    <col min="38" max="38" width="10" style="12" bestFit="1" customWidth="1"/>
    <col min="39" max="16384" width="8" style="12"/>
  </cols>
  <sheetData>
    <row r="1" spans="1:36" ht="27" customHeight="1" thickBot="1">
      <c r="A1" s="126" t="s">
        <v>47</v>
      </c>
    </row>
    <row r="2" spans="1:36" ht="15" customHeight="1">
      <c r="A2" s="77" t="s">
        <v>48</v>
      </c>
      <c r="B2" s="78"/>
      <c r="C2" s="11" t="s">
        <v>4</v>
      </c>
      <c r="D2" s="217"/>
      <c r="E2" s="218"/>
      <c r="F2" s="218"/>
      <c r="G2" s="218"/>
      <c r="H2" s="187" t="s">
        <v>24</v>
      </c>
      <c r="I2" s="219"/>
      <c r="J2" s="219"/>
      <c r="K2" s="219"/>
      <c r="L2" s="219"/>
      <c r="M2" s="219"/>
      <c r="N2" s="220"/>
      <c r="O2" s="187" t="s">
        <v>24</v>
      </c>
      <c r="P2" s="184"/>
      <c r="Q2" s="184"/>
      <c r="R2" s="184"/>
      <c r="S2" s="184"/>
      <c r="T2" s="184"/>
      <c r="U2" s="186"/>
      <c r="V2" s="183" t="s">
        <v>25</v>
      </c>
      <c r="W2" s="184"/>
      <c r="X2" s="184"/>
      <c r="Y2" s="184"/>
      <c r="Z2" s="184"/>
      <c r="AA2" s="184"/>
      <c r="AB2" s="186"/>
      <c r="AC2" s="183" t="s">
        <v>26</v>
      </c>
      <c r="AD2" s="184"/>
      <c r="AE2" s="184"/>
      <c r="AF2" s="184"/>
      <c r="AG2" s="184"/>
      <c r="AH2" s="184"/>
      <c r="AI2" s="185"/>
      <c r="AJ2" s="203" t="s">
        <v>43</v>
      </c>
    </row>
    <row r="3" spans="1:36" ht="15" customHeight="1">
      <c r="A3" s="14" t="s">
        <v>45</v>
      </c>
      <c r="B3" s="24"/>
      <c r="C3" s="13" t="s">
        <v>7</v>
      </c>
      <c r="D3" s="13" t="s">
        <v>6</v>
      </c>
      <c r="E3" s="1" t="s">
        <v>40</v>
      </c>
      <c r="F3" s="2" t="s">
        <v>41</v>
      </c>
      <c r="G3" s="9"/>
      <c r="H3" s="44"/>
      <c r="I3" s="3"/>
      <c r="J3" s="3"/>
      <c r="K3" s="3"/>
      <c r="L3" s="144">
        <v>41029</v>
      </c>
      <c r="M3" s="4" t="s">
        <v>14</v>
      </c>
      <c r="N3" s="145">
        <v>41393</v>
      </c>
      <c r="O3" s="43"/>
      <c r="P3" s="3"/>
      <c r="Q3" s="3"/>
      <c r="R3" s="3"/>
      <c r="S3" s="79">
        <f>N3+1</f>
        <v>41394</v>
      </c>
      <c r="T3" s="4" t="s">
        <v>14</v>
      </c>
      <c r="U3" s="79">
        <f>S3+365</f>
        <v>41759</v>
      </c>
      <c r="V3" s="10"/>
      <c r="W3" s="3"/>
      <c r="X3" s="3"/>
      <c r="Y3" s="3"/>
      <c r="Z3" s="79">
        <f>U3+1</f>
        <v>41760</v>
      </c>
      <c r="AA3" s="4" t="s">
        <v>14</v>
      </c>
      <c r="AB3" s="79">
        <f>Z3+364</f>
        <v>42124</v>
      </c>
      <c r="AC3" s="39"/>
      <c r="AD3" s="3"/>
      <c r="AE3" s="3"/>
      <c r="AF3" s="3"/>
      <c r="AG3" s="79">
        <f>AB3+1</f>
        <v>42125</v>
      </c>
      <c r="AH3" s="4" t="s">
        <v>14</v>
      </c>
      <c r="AI3" s="80">
        <f>AG3+364</f>
        <v>42489</v>
      </c>
      <c r="AJ3" s="204"/>
    </row>
    <row r="4" spans="1:36" ht="34.5" customHeight="1" thickBot="1">
      <c r="A4" s="35" t="s">
        <v>18</v>
      </c>
      <c r="B4" s="81" t="s">
        <v>16</v>
      </c>
      <c r="C4" s="82" t="s">
        <v>1</v>
      </c>
      <c r="D4" s="82" t="s">
        <v>1</v>
      </c>
      <c r="E4" s="82" t="s">
        <v>8</v>
      </c>
      <c r="F4" s="82" t="s">
        <v>8</v>
      </c>
      <c r="G4" s="83" t="s">
        <v>11</v>
      </c>
      <c r="H4" s="84" t="s">
        <v>5</v>
      </c>
      <c r="I4" s="85" t="s">
        <v>13</v>
      </c>
      <c r="J4" s="181" t="s">
        <v>17</v>
      </c>
      <c r="K4" s="182"/>
      <c r="L4" s="86" t="s">
        <v>12</v>
      </c>
      <c r="M4" s="87" t="s">
        <v>2</v>
      </c>
      <c r="N4" s="88" t="s">
        <v>0</v>
      </c>
      <c r="O4" s="143" t="s">
        <v>5</v>
      </c>
      <c r="P4" s="85" t="s">
        <v>13</v>
      </c>
      <c r="Q4" s="181" t="s">
        <v>17</v>
      </c>
      <c r="R4" s="182"/>
      <c r="S4" s="86" t="s">
        <v>12</v>
      </c>
      <c r="T4" s="87" t="s">
        <v>2</v>
      </c>
      <c r="U4" s="88" t="s">
        <v>0</v>
      </c>
      <c r="V4" s="143" t="s">
        <v>5</v>
      </c>
      <c r="W4" s="85" t="s">
        <v>13</v>
      </c>
      <c r="X4" s="181" t="s">
        <v>17</v>
      </c>
      <c r="Y4" s="182"/>
      <c r="Z4" s="86" t="s">
        <v>12</v>
      </c>
      <c r="AA4" s="87" t="s">
        <v>2</v>
      </c>
      <c r="AB4" s="88" t="s">
        <v>0</v>
      </c>
      <c r="AC4" s="143" t="s">
        <v>5</v>
      </c>
      <c r="AD4" s="85" t="s">
        <v>13</v>
      </c>
      <c r="AE4" s="181" t="s">
        <v>17</v>
      </c>
      <c r="AF4" s="182"/>
      <c r="AG4" s="86" t="s">
        <v>12</v>
      </c>
      <c r="AH4" s="87" t="s">
        <v>2</v>
      </c>
      <c r="AI4" s="88" t="s">
        <v>0</v>
      </c>
      <c r="AJ4" s="205"/>
    </row>
    <row r="5" spans="1:36" ht="15" customHeight="1">
      <c r="A5" s="15"/>
      <c r="B5" s="16"/>
      <c r="C5" s="17"/>
      <c r="D5" s="18" t="s">
        <v>15</v>
      </c>
      <c r="E5" s="18">
        <v>2</v>
      </c>
      <c r="F5" s="18">
        <v>10</v>
      </c>
      <c r="G5" s="41"/>
      <c r="H5" s="45"/>
      <c r="I5" s="20"/>
      <c r="J5" s="17">
        <v>16</v>
      </c>
      <c r="K5" s="19">
        <f>J5+1</f>
        <v>17</v>
      </c>
      <c r="L5" s="21"/>
      <c r="M5" s="22"/>
      <c r="N5" s="23"/>
      <c r="O5" s="19"/>
      <c r="P5" s="20"/>
      <c r="Q5" s="17">
        <f>K5</f>
        <v>17</v>
      </c>
      <c r="R5" s="19">
        <f>Q5+1</f>
        <v>18</v>
      </c>
      <c r="S5" s="21"/>
      <c r="T5" s="22"/>
      <c r="U5" s="23"/>
      <c r="V5" s="19"/>
      <c r="W5" s="20"/>
      <c r="X5" s="17">
        <f>R5</f>
        <v>18</v>
      </c>
      <c r="Y5" s="19">
        <f>X5+1</f>
        <v>19</v>
      </c>
      <c r="Z5" s="21"/>
      <c r="AA5" s="22"/>
      <c r="AB5" s="23"/>
      <c r="AC5" s="19"/>
      <c r="AD5" s="20"/>
      <c r="AE5" s="17">
        <f>Y5</f>
        <v>19</v>
      </c>
      <c r="AF5" s="19">
        <f>AE5+1</f>
        <v>20</v>
      </c>
      <c r="AG5" s="21"/>
      <c r="AH5" s="22"/>
      <c r="AI5" s="23"/>
      <c r="AJ5" s="116"/>
    </row>
    <row r="6" spans="1:36" s="136" customFormat="1" ht="18" customHeight="1">
      <c r="A6" s="74" t="str">
        <f>+A25</f>
        <v>Radhika Khetani</v>
      </c>
      <c r="B6" s="122" t="s">
        <v>44</v>
      </c>
      <c r="C6" s="75"/>
      <c r="D6" s="5">
        <f>C6</f>
        <v>0</v>
      </c>
      <c r="E6" s="6">
        <f>+$E$5</f>
        <v>2</v>
      </c>
      <c r="F6" s="6">
        <f>+$F$5</f>
        <v>10</v>
      </c>
      <c r="G6" s="42" t="s">
        <v>10</v>
      </c>
      <c r="H6" s="146">
        <v>0.1</v>
      </c>
      <c r="I6" s="38">
        <f>+H6*12</f>
        <v>1.2000000000000002</v>
      </c>
      <c r="J6" s="76">
        <v>0.249</v>
      </c>
      <c r="K6" s="76">
        <v>0.249</v>
      </c>
      <c r="L6" s="7">
        <f>((C25*$E$6/12)+(D25*$F$6/12))*H6</f>
        <v>11275</v>
      </c>
      <c r="M6" s="7">
        <f>+(L6/12*$E$6*J6)+(L6/12*$F$6*K6)</f>
        <v>2807.4749999999999</v>
      </c>
      <c r="N6" s="8">
        <f>+M6+L6</f>
        <v>14082.475</v>
      </c>
      <c r="O6" s="123">
        <v>0</v>
      </c>
      <c r="P6" s="38">
        <f>+O6*12</f>
        <v>0</v>
      </c>
      <c r="Q6" s="76">
        <v>0.28000000000000003</v>
      </c>
      <c r="R6" s="76">
        <v>0.28000000000000003</v>
      </c>
      <c r="S6" s="7">
        <f>((D25*$E$6/12)+(E25*$F$6/12))*O6</f>
        <v>0</v>
      </c>
      <c r="T6" s="7">
        <f>+S6/12*$E6*Q6+(S6/12*$F6*R6)</f>
        <v>0</v>
      </c>
      <c r="U6" s="8">
        <f>+T6+S6</f>
        <v>0</v>
      </c>
      <c r="V6" s="123">
        <v>0</v>
      </c>
      <c r="W6" s="38">
        <f>+V6*12</f>
        <v>0</v>
      </c>
      <c r="X6" s="76">
        <v>0.28000000000000003</v>
      </c>
      <c r="Y6" s="76">
        <v>0.28000000000000003</v>
      </c>
      <c r="Z6" s="7">
        <f>((E25*$E$6/12)+(F25*$F$6/12))*V6</f>
        <v>0</v>
      </c>
      <c r="AA6" s="7">
        <f>+Z6/12*$E$6*X6+(Z6/12*$F$6*Y6)</f>
        <v>0</v>
      </c>
      <c r="AB6" s="8">
        <f>+AA6+Z6</f>
        <v>0</v>
      </c>
      <c r="AC6" s="123">
        <v>0</v>
      </c>
      <c r="AD6" s="38">
        <f>+AC6*12</f>
        <v>0</v>
      </c>
      <c r="AE6" s="76">
        <v>0.28000000000000003</v>
      </c>
      <c r="AF6" s="76">
        <v>0.28000000000000003</v>
      </c>
      <c r="AG6" s="7">
        <f>((F25*$E$6/12)+(G25*$F$6/12))*AC6</f>
        <v>0</v>
      </c>
      <c r="AH6" s="7">
        <f>+AG6/12*$E6*AE6+(AG6/12*$F6*AF6)</f>
        <v>0</v>
      </c>
      <c r="AI6" s="8">
        <f>+AH6+AG6</f>
        <v>0</v>
      </c>
      <c r="AJ6" s="112">
        <f>+AI6+AB6+U6+N6</f>
        <v>14082.475</v>
      </c>
    </row>
    <row r="7" spans="1:36" s="136" customFormat="1" ht="18" customHeight="1">
      <c r="A7" s="74"/>
      <c r="B7" s="122"/>
      <c r="C7" s="75"/>
      <c r="D7" s="5"/>
      <c r="E7" s="6"/>
      <c r="F7" s="6"/>
      <c r="G7" s="42"/>
      <c r="H7" s="146"/>
      <c r="I7" s="38"/>
      <c r="J7" s="76"/>
      <c r="K7" s="76"/>
      <c r="L7" s="7"/>
      <c r="M7" s="7"/>
      <c r="N7" s="8"/>
      <c r="O7" s="123"/>
      <c r="P7" s="38"/>
      <c r="Q7" s="76"/>
      <c r="R7" s="76"/>
      <c r="S7" s="7"/>
      <c r="T7" s="7"/>
      <c r="U7" s="8"/>
      <c r="V7" s="123"/>
      <c r="W7" s="38"/>
      <c r="X7" s="76"/>
      <c r="Y7" s="76"/>
      <c r="Z7" s="7"/>
      <c r="AA7" s="7"/>
      <c r="AB7" s="8"/>
      <c r="AC7" s="123"/>
      <c r="AD7" s="38"/>
      <c r="AE7" s="76"/>
      <c r="AF7" s="76"/>
      <c r="AG7" s="7"/>
      <c r="AH7" s="7"/>
      <c r="AI7" s="8"/>
      <c r="AJ7" s="112"/>
    </row>
    <row r="8" spans="1:36" ht="15" customHeight="1" thickBot="1">
      <c r="A8" s="25" t="s">
        <v>9</v>
      </c>
      <c r="B8" s="26"/>
      <c r="C8" s="61"/>
      <c r="G8" s="30"/>
      <c r="H8" s="66"/>
      <c r="I8" s="67"/>
      <c r="J8" s="26"/>
      <c r="K8" s="26"/>
      <c r="L8" s="68">
        <f>SUM(L6:L6)</f>
        <v>11275</v>
      </c>
      <c r="M8" s="69">
        <f>SUM(M6:M6)</f>
        <v>2807.4749999999999</v>
      </c>
      <c r="N8" s="70">
        <f>SUM(N6:N6)</f>
        <v>14082.475</v>
      </c>
      <c r="O8" s="67"/>
      <c r="P8" s="67"/>
      <c r="Q8" s="26"/>
      <c r="R8" s="26"/>
      <c r="S8" s="68">
        <f>SUM(S6:S6)</f>
        <v>0</v>
      </c>
      <c r="T8" s="69">
        <f>SUM(T6:T6)</f>
        <v>0</v>
      </c>
      <c r="U8" s="70">
        <f>SUM(U6:U6)</f>
        <v>0</v>
      </c>
      <c r="V8" s="67"/>
      <c r="W8" s="67"/>
      <c r="X8" s="26"/>
      <c r="Y8" s="26"/>
      <c r="Z8" s="68">
        <f>SUM(Z6:Z6)</f>
        <v>0</v>
      </c>
      <c r="AA8" s="69">
        <f>SUM(AA6:AA6)</f>
        <v>0</v>
      </c>
      <c r="AB8" s="70">
        <f>SUM(AB6:AB6)</f>
        <v>0</v>
      </c>
      <c r="AC8" s="67"/>
      <c r="AD8" s="67"/>
      <c r="AE8" s="26"/>
      <c r="AF8" s="26"/>
      <c r="AG8" s="68">
        <f>SUM(AG6:AG6)</f>
        <v>0</v>
      </c>
      <c r="AH8" s="69">
        <f>SUM(AH6:AH6)</f>
        <v>0</v>
      </c>
      <c r="AI8" s="70">
        <f>SUM(AI6:AI6)</f>
        <v>0</v>
      </c>
      <c r="AJ8" s="112">
        <f>+AI8+AB8+U8+N8</f>
        <v>14082.475</v>
      </c>
    </row>
    <row r="9" spans="1:36" s="46" customFormat="1" ht="15" customHeight="1" thickBot="1">
      <c r="A9" s="125" t="s">
        <v>3</v>
      </c>
      <c r="B9" s="31"/>
      <c r="C9" s="31"/>
      <c r="D9" s="31"/>
      <c r="E9" s="124"/>
      <c r="F9" s="127"/>
      <c r="G9" s="124"/>
      <c r="H9" s="147"/>
      <c r="I9" s="124"/>
      <c r="J9" s="31"/>
      <c r="K9" s="31"/>
      <c r="L9" s="120"/>
      <c r="M9" s="120"/>
      <c r="N9" s="169"/>
      <c r="O9" s="124"/>
      <c r="P9" s="124"/>
      <c r="Q9" s="31"/>
      <c r="R9" s="31"/>
      <c r="S9" s="120"/>
      <c r="T9" s="120"/>
      <c r="U9" s="121"/>
      <c r="V9" s="124"/>
      <c r="W9" s="124"/>
      <c r="X9" s="31"/>
      <c r="Y9" s="31"/>
      <c r="Z9" s="120"/>
      <c r="AA9" s="120"/>
      <c r="AB9" s="121"/>
      <c r="AC9" s="124"/>
      <c r="AD9" s="124"/>
      <c r="AE9" s="31"/>
      <c r="AF9" s="31"/>
      <c r="AG9" s="120"/>
      <c r="AH9" s="120"/>
      <c r="AI9" s="121"/>
      <c r="AJ9" s="112"/>
    </row>
    <row r="10" spans="1:36" s="46" customFormat="1" ht="15" customHeight="1" thickBot="1">
      <c r="A10" s="25"/>
      <c r="B10" s="26"/>
      <c r="C10" s="26"/>
      <c r="D10" s="26"/>
      <c r="E10" s="67"/>
      <c r="F10" s="164"/>
      <c r="G10" s="67"/>
      <c r="H10" s="170" t="s">
        <v>55</v>
      </c>
      <c r="I10" s="67"/>
      <c r="J10" s="26"/>
      <c r="K10" s="26"/>
      <c r="L10" s="148"/>
      <c r="M10" s="148"/>
      <c r="N10" s="171">
        <f>65*125</f>
        <v>8125</v>
      </c>
      <c r="O10" s="124"/>
      <c r="P10" s="124"/>
      <c r="Q10" s="31"/>
      <c r="R10" s="31"/>
      <c r="S10" s="120"/>
      <c r="T10" s="120"/>
      <c r="U10" s="121"/>
      <c r="V10" s="124"/>
      <c r="W10" s="124"/>
      <c r="X10" s="31"/>
      <c r="Y10" s="31"/>
      <c r="Z10" s="120"/>
      <c r="AA10" s="120"/>
      <c r="AB10" s="121"/>
      <c r="AC10" s="124"/>
      <c r="AD10" s="124"/>
      <c r="AE10" s="31"/>
      <c r="AF10" s="31"/>
      <c r="AG10" s="120"/>
      <c r="AH10" s="120"/>
      <c r="AI10" s="121"/>
      <c r="AJ10" s="112"/>
    </row>
    <row r="11" spans="1:36" s="46" customFormat="1" ht="15" customHeight="1" thickBot="1">
      <c r="A11" s="25"/>
      <c r="B11" s="26"/>
      <c r="C11" s="26"/>
      <c r="D11" s="26"/>
      <c r="E11" s="67"/>
      <c r="F11" s="164"/>
      <c r="G11" s="67"/>
      <c r="H11" s="170" t="s">
        <v>56</v>
      </c>
      <c r="I11" s="67"/>
      <c r="J11" s="26"/>
      <c r="K11" s="26"/>
      <c r="L11" s="148"/>
      <c r="M11" s="148"/>
      <c r="N11" s="171">
        <v>700</v>
      </c>
      <c r="O11" s="124"/>
      <c r="P11" s="124"/>
      <c r="Q11" s="31"/>
      <c r="R11" s="31"/>
      <c r="S11" s="120"/>
      <c r="T11" s="120"/>
      <c r="U11" s="121"/>
      <c r="V11" s="124"/>
      <c r="W11" s="124"/>
      <c r="X11" s="31"/>
      <c r="Y11" s="31"/>
      <c r="Z11" s="120"/>
      <c r="AA11" s="120"/>
      <c r="AB11" s="121"/>
      <c r="AC11" s="124"/>
      <c r="AD11" s="124"/>
      <c r="AE11" s="31"/>
      <c r="AF11" s="31"/>
      <c r="AG11" s="120"/>
      <c r="AH11" s="120"/>
      <c r="AI11" s="121"/>
      <c r="AJ11" s="112"/>
    </row>
    <row r="12" spans="1:36" s="46" customFormat="1" ht="15" customHeight="1" thickBot="1">
      <c r="A12" s="165"/>
      <c r="B12" s="166"/>
      <c r="C12" s="166"/>
      <c r="D12" s="166"/>
      <c r="E12" s="167"/>
      <c r="F12" s="168"/>
      <c r="G12" s="167"/>
      <c r="H12" s="172" t="s">
        <v>53</v>
      </c>
      <c r="I12" s="167"/>
      <c r="J12" s="166"/>
      <c r="K12" s="166"/>
      <c r="L12" s="173"/>
      <c r="M12" s="173"/>
      <c r="N12" s="174">
        <v>500</v>
      </c>
      <c r="O12" s="124"/>
      <c r="P12" s="124"/>
      <c r="Q12" s="31"/>
      <c r="R12" s="31"/>
      <c r="S12" s="120"/>
      <c r="T12" s="120"/>
      <c r="U12" s="121"/>
      <c r="V12" s="124"/>
      <c r="W12" s="124"/>
      <c r="X12" s="31"/>
      <c r="Y12" s="31"/>
      <c r="Z12" s="120"/>
      <c r="AA12" s="120"/>
      <c r="AB12" s="121"/>
      <c r="AC12" s="124"/>
      <c r="AD12" s="124"/>
      <c r="AE12" s="31"/>
      <c r="AF12" s="31"/>
      <c r="AG12" s="120"/>
      <c r="AH12" s="120"/>
      <c r="AI12" s="121"/>
      <c r="AJ12" s="112"/>
    </row>
    <row r="13" spans="1:36" s="137" customFormat="1" ht="15" customHeight="1">
      <c r="A13" s="221" t="s">
        <v>46</v>
      </c>
      <c r="B13" s="222"/>
      <c r="C13" s="175"/>
      <c r="D13" s="175"/>
      <c r="E13" s="176"/>
      <c r="F13" s="177"/>
      <c r="G13" s="176"/>
      <c r="H13" s="223" t="s">
        <v>32</v>
      </c>
      <c r="I13" s="224"/>
      <c r="J13" s="175"/>
      <c r="K13" s="175"/>
      <c r="L13" s="178"/>
      <c r="M13" s="178"/>
      <c r="N13" s="179">
        <f>SUM(N8:N12)</f>
        <v>23407.474999999999</v>
      </c>
      <c r="O13" s="190" t="s">
        <v>32</v>
      </c>
      <c r="P13" s="191"/>
      <c r="Q13" s="51"/>
      <c r="R13" s="51"/>
      <c r="S13" s="53"/>
      <c r="T13" s="53"/>
      <c r="U13" s="54">
        <f>SUM(U8:U12)</f>
        <v>0</v>
      </c>
      <c r="V13" s="190" t="s">
        <v>32</v>
      </c>
      <c r="W13" s="191"/>
      <c r="X13" s="51"/>
      <c r="Y13" s="51"/>
      <c r="Z13" s="53"/>
      <c r="AA13" s="53"/>
      <c r="AB13" s="54">
        <f>SUM(AB8:AB12)</f>
        <v>0</v>
      </c>
      <c r="AC13" s="190" t="s">
        <v>32</v>
      </c>
      <c r="AD13" s="191"/>
      <c r="AE13" s="51"/>
      <c r="AF13" s="51"/>
      <c r="AG13" s="53"/>
      <c r="AH13" s="53"/>
      <c r="AI13" s="54">
        <f>SUM(AI8:AI12)</f>
        <v>0</v>
      </c>
      <c r="AJ13" s="114">
        <f>+AI13+AB13+U13+N13</f>
        <v>23407.474999999999</v>
      </c>
    </row>
    <row r="14" spans="1:36" s="137" customFormat="1" ht="15" customHeight="1" thickBot="1">
      <c r="A14" s="55"/>
      <c r="B14" s="56"/>
      <c r="C14" s="57"/>
      <c r="D14" s="57"/>
      <c r="E14" s="58"/>
      <c r="F14" s="129"/>
      <c r="G14" s="58"/>
      <c r="H14" s="188" t="s">
        <v>33</v>
      </c>
      <c r="I14" s="210"/>
      <c r="J14" s="57"/>
      <c r="K14" s="57"/>
      <c r="L14" s="59"/>
      <c r="M14" s="59"/>
      <c r="N14" s="60">
        <f>N13*0</f>
        <v>0</v>
      </c>
      <c r="O14" s="188" t="s">
        <v>33</v>
      </c>
      <c r="P14" s="189"/>
      <c r="Q14" s="57"/>
      <c r="R14" s="57"/>
      <c r="S14" s="59"/>
      <c r="T14" s="59"/>
      <c r="U14" s="60">
        <f>U13*0.615</f>
        <v>0</v>
      </c>
      <c r="V14" s="188" t="s">
        <v>33</v>
      </c>
      <c r="W14" s="189"/>
      <c r="X14" s="57"/>
      <c r="Y14" s="57"/>
      <c r="Z14" s="59"/>
      <c r="AA14" s="59"/>
      <c r="AB14" s="60">
        <f>AB13*0.615</f>
        <v>0</v>
      </c>
      <c r="AC14" s="188" t="s">
        <v>33</v>
      </c>
      <c r="AD14" s="189"/>
      <c r="AE14" s="57"/>
      <c r="AF14" s="57"/>
      <c r="AG14" s="59"/>
      <c r="AH14" s="59"/>
      <c r="AI14" s="60">
        <f>AI13*0.615</f>
        <v>0</v>
      </c>
      <c r="AJ14" s="115">
        <f>+AI14+AB14+U14+N14</f>
        <v>0</v>
      </c>
    </row>
    <row r="15" spans="1:36" s="138" customFormat="1" ht="15" customHeight="1" thickBot="1">
      <c r="A15" s="211" t="s">
        <v>31</v>
      </c>
      <c r="B15" s="212"/>
      <c r="C15" s="47"/>
      <c r="D15" s="47"/>
      <c r="E15" s="48"/>
      <c r="F15" s="130"/>
      <c r="G15" s="48"/>
      <c r="H15" s="192" t="s">
        <v>27</v>
      </c>
      <c r="I15" s="213"/>
      <c r="J15" s="47"/>
      <c r="K15" s="47"/>
      <c r="L15" s="49"/>
      <c r="M15" s="49"/>
      <c r="N15" s="50">
        <f>N14+N13</f>
        <v>23407.474999999999</v>
      </c>
      <c r="O15" s="192" t="s">
        <v>28</v>
      </c>
      <c r="P15" s="193"/>
      <c r="Q15" s="47"/>
      <c r="R15" s="47"/>
      <c r="S15" s="49"/>
      <c r="T15" s="49"/>
      <c r="U15" s="50">
        <f>U14+U13</f>
        <v>0</v>
      </c>
      <c r="V15" s="192" t="s">
        <v>29</v>
      </c>
      <c r="W15" s="193"/>
      <c r="X15" s="47"/>
      <c r="Y15" s="47"/>
      <c r="Z15" s="49"/>
      <c r="AA15" s="49"/>
      <c r="AB15" s="50">
        <f>AB14+AB13</f>
        <v>0</v>
      </c>
      <c r="AC15" s="192" t="s">
        <v>30</v>
      </c>
      <c r="AD15" s="193"/>
      <c r="AE15" s="47"/>
      <c r="AF15" s="47"/>
      <c r="AG15" s="49"/>
      <c r="AH15" s="49"/>
      <c r="AI15" s="50">
        <f>AI14+AI13</f>
        <v>0</v>
      </c>
      <c r="AJ15" s="113">
        <f>+AI15+AB15+U15+N15</f>
        <v>23407.474999999999</v>
      </c>
    </row>
    <row r="16" spans="1:36" ht="15" customHeight="1" thickBot="1">
      <c r="A16" s="103"/>
      <c r="B16" s="104"/>
      <c r="C16" s="62"/>
      <c r="D16" s="62"/>
      <c r="E16" s="63"/>
      <c r="F16" s="131"/>
      <c r="G16" s="63"/>
      <c r="H16" s="63"/>
      <c r="I16" s="63"/>
      <c r="J16" s="62"/>
      <c r="K16" s="62"/>
      <c r="L16" s="64"/>
      <c r="M16" s="64"/>
      <c r="N16" s="65"/>
      <c r="O16" s="63"/>
      <c r="P16" s="63"/>
      <c r="Q16" s="62"/>
      <c r="R16" s="62"/>
      <c r="S16" s="64"/>
      <c r="T16" s="64"/>
      <c r="U16" s="65"/>
      <c r="V16" s="63"/>
      <c r="W16" s="63"/>
      <c r="X16" s="62"/>
      <c r="Y16" s="62"/>
      <c r="Z16" s="64"/>
      <c r="AA16" s="64"/>
      <c r="AB16" s="65"/>
      <c r="AC16" s="63"/>
      <c r="AD16" s="63"/>
      <c r="AE16" s="62"/>
      <c r="AF16" s="62"/>
      <c r="AG16" s="64"/>
      <c r="AH16" s="64"/>
      <c r="AI16" s="65"/>
      <c r="AJ16" s="117"/>
    </row>
    <row r="17" spans="1:37" s="27" customFormat="1" ht="15" customHeight="1" thickBot="1">
      <c r="A17" s="32"/>
      <c r="B17" s="40"/>
      <c r="C17" s="40"/>
      <c r="D17" s="40"/>
      <c r="E17" s="33"/>
      <c r="F17" s="28"/>
      <c r="G17" s="28"/>
      <c r="H17" s="28"/>
      <c r="I17" s="28"/>
      <c r="L17" s="29"/>
      <c r="M17" s="29"/>
      <c r="N17" s="29"/>
      <c r="O17" s="28"/>
      <c r="P17" s="28"/>
      <c r="S17" s="29"/>
      <c r="T17" s="29"/>
      <c r="U17" s="29"/>
      <c r="V17" s="28"/>
      <c r="W17" s="28"/>
      <c r="Z17" s="29"/>
      <c r="AA17" s="29"/>
      <c r="AB17" s="29"/>
      <c r="AC17" s="28"/>
      <c r="AD17" s="28"/>
      <c r="AG17" s="29"/>
      <c r="AH17" s="29"/>
      <c r="AI17" s="29"/>
      <c r="AJ17" s="102"/>
    </row>
    <row r="18" spans="1:37" s="73" customFormat="1" ht="15" customHeight="1">
      <c r="A18" s="71"/>
      <c r="B18" s="72"/>
      <c r="C18" s="72"/>
      <c r="D18" s="72"/>
      <c r="E18" s="71"/>
      <c r="H18" s="200" t="s">
        <v>34</v>
      </c>
      <c r="I18" s="214"/>
      <c r="J18" s="214"/>
      <c r="K18" s="214"/>
      <c r="L18" s="214"/>
      <c r="M18" s="214"/>
      <c r="N18" s="89">
        <f>N13</f>
        <v>23407.474999999999</v>
      </c>
      <c r="O18" s="200" t="s">
        <v>34</v>
      </c>
      <c r="P18" s="201"/>
      <c r="Q18" s="201"/>
      <c r="R18" s="201"/>
      <c r="S18" s="201"/>
      <c r="T18" s="202"/>
      <c r="U18" s="89">
        <f>U13</f>
        <v>0</v>
      </c>
      <c r="V18" s="200" t="s">
        <v>34</v>
      </c>
      <c r="W18" s="201"/>
      <c r="X18" s="201"/>
      <c r="Y18" s="201"/>
      <c r="Z18" s="201"/>
      <c r="AA18" s="202"/>
      <c r="AB18" s="89">
        <f>AB13</f>
        <v>0</v>
      </c>
      <c r="AC18" s="200" t="s">
        <v>34</v>
      </c>
      <c r="AD18" s="201"/>
      <c r="AE18" s="201"/>
      <c r="AF18" s="201"/>
      <c r="AG18" s="201"/>
      <c r="AH18" s="202"/>
      <c r="AI18" s="89">
        <f>AI13</f>
        <v>0</v>
      </c>
      <c r="AJ18" s="110">
        <f>AJ13</f>
        <v>23407.474999999999</v>
      </c>
    </row>
    <row r="19" spans="1:37" s="73" customFormat="1" ht="15" customHeight="1" thickBot="1">
      <c r="A19" s="71"/>
      <c r="B19" s="72"/>
      <c r="C19" s="72"/>
      <c r="D19" s="72"/>
      <c r="E19" s="71"/>
      <c r="H19" s="215" t="s">
        <v>35</v>
      </c>
      <c r="I19" s="216"/>
      <c r="J19" s="216"/>
      <c r="K19" s="216"/>
      <c r="L19" s="216"/>
      <c r="M19" s="216"/>
      <c r="N19" s="90">
        <f>N14</f>
        <v>0</v>
      </c>
      <c r="O19" s="197" t="s">
        <v>35</v>
      </c>
      <c r="P19" s="198"/>
      <c r="Q19" s="198"/>
      <c r="R19" s="198"/>
      <c r="S19" s="198"/>
      <c r="T19" s="199"/>
      <c r="U19" s="90">
        <f>U14</f>
        <v>0</v>
      </c>
      <c r="V19" s="197" t="s">
        <v>35</v>
      </c>
      <c r="W19" s="198"/>
      <c r="X19" s="198"/>
      <c r="Y19" s="198"/>
      <c r="Z19" s="198"/>
      <c r="AA19" s="199"/>
      <c r="AB19" s="90">
        <f>AB14</f>
        <v>0</v>
      </c>
      <c r="AC19" s="197" t="s">
        <v>35</v>
      </c>
      <c r="AD19" s="198"/>
      <c r="AE19" s="198"/>
      <c r="AF19" s="198"/>
      <c r="AG19" s="198"/>
      <c r="AH19" s="199"/>
      <c r="AI19" s="90">
        <f>AI14</f>
        <v>0</v>
      </c>
      <c r="AJ19" s="111">
        <f>AJ14</f>
        <v>0</v>
      </c>
    </row>
    <row r="20" spans="1:37" s="73" customFormat="1" ht="15" customHeight="1" thickBot="1">
      <c r="A20" s="71"/>
      <c r="B20" s="72"/>
      <c r="C20" s="72"/>
      <c r="D20" s="72"/>
      <c r="E20" s="71"/>
      <c r="H20" s="194" t="s">
        <v>36</v>
      </c>
      <c r="I20" s="206"/>
      <c r="J20" s="206"/>
      <c r="K20" s="206"/>
      <c r="L20" s="206"/>
      <c r="M20" s="206"/>
      <c r="N20" s="91">
        <f>N18+N19</f>
        <v>23407.474999999999</v>
      </c>
      <c r="O20" s="194" t="s">
        <v>37</v>
      </c>
      <c r="P20" s="195"/>
      <c r="Q20" s="195"/>
      <c r="R20" s="195"/>
      <c r="S20" s="195"/>
      <c r="T20" s="196"/>
      <c r="U20" s="91">
        <f>U18+U19</f>
        <v>0</v>
      </c>
      <c r="V20" s="194" t="s">
        <v>38</v>
      </c>
      <c r="W20" s="195"/>
      <c r="X20" s="195"/>
      <c r="Y20" s="195"/>
      <c r="Z20" s="195"/>
      <c r="AA20" s="196"/>
      <c r="AB20" s="91">
        <f>AB18+AB19</f>
        <v>0</v>
      </c>
      <c r="AC20" s="194" t="s">
        <v>39</v>
      </c>
      <c r="AD20" s="195"/>
      <c r="AE20" s="195"/>
      <c r="AF20" s="195"/>
      <c r="AG20" s="195"/>
      <c r="AH20" s="196"/>
      <c r="AI20" s="91">
        <f>AI18+AI19</f>
        <v>0</v>
      </c>
      <c r="AJ20" s="109">
        <f>AJ18+AJ19</f>
        <v>23407.474999999999</v>
      </c>
    </row>
    <row r="21" spans="1:37" s="139" customFormat="1" ht="15" customHeight="1">
      <c r="A21" s="105"/>
      <c r="B21" s="106"/>
      <c r="C21" s="106"/>
      <c r="D21" s="106"/>
      <c r="E21" s="107"/>
      <c r="F21" s="108"/>
      <c r="G21" s="108"/>
      <c r="H21" s="92"/>
      <c r="I21" s="93"/>
      <c r="J21" s="94"/>
      <c r="K21" s="94"/>
      <c r="L21" s="95"/>
      <c r="M21" s="95" t="s">
        <v>42</v>
      </c>
      <c r="N21" s="96">
        <v>0</v>
      </c>
      <c r="O21" s="92"/>
      <c r="P21" s="93"/>
      <c r="Q21" s="94"/>
      <c r="R21" s="94"/>
      <c r="S21" s="95"/>
      <c r="T21" s="95" t="s">
        <v>42</v>
      </c>
      <c r="U21" s="96">
        <v>0</v>
      </c>
      <c r="V21" s="92"/>
      <c r="W21" s="93"/>
      <c r="X21" s="94"/>
      <c r="Y21" s="94"/>
      <c r="Z21" s="95"/>
      <c r="AA21" s="95" t="s">
        <v>42</v>
      </c>
      <c r="AB21" s="96">
        <v>0</v>
      </c>
      <c r="AC21" s="92"/>
      <c r="AD21" s="93"/>
      <c r="AE21" s="94"/>
      <c r="AF21" s="94"/>
      <c r="AG21" s="95"/>
      <c r="AH21" s="95" t="s">
        <v>42</v>
      </c>
      <c r="AI21" s="96">
        <v>0</v>
      </c>
      <c r="AJ21" s="110">
        <f>+AI21+AB21+U21+N21</f>
        <v>0</v>
      </c>
    </row>
    <row r="22" spans="1:37" s="139" customFormat="1" ht="15" customHeight="1" thickBot="1">
      <c r="A22" s="105"/>
      <c r="B22" s="106"/>
      <c r="C22" s="106"/>
      <c r="D22" s="106"/>
      <c r="E22" s="107"/>
      <c r="F22" s="108"/>
      <c r="G22" s="108"/>
      <c r="H22" s="97"/>
      <c r="I22" s="98"/>
      <c r="J22" s="99"/>
      <c r="K22" s="99"/>
      <c r="L22" s="100"/>
      <c r="M22" s="100" t="s">
        <v>19</v>
      </c>
      <c r="N22" s="101">
        <f>N21-N20</f>
        <v>-23407.474999999999</v>
      </c>
      <c r="O22" s="97"/>
      <c r="P22" s="98"/>
      <c r="Q22" s="99"/>
      <c r="R22" s="99"/>
      <c r="S22" s="100"/>
      <c r="T22" s="100" t="s">
        <v>19</v>
      </c>
      <c r="U22" s="101">
        <f>U21-U20</f>
        <v>0</v>
      </c>
      <c r="V22" s="97"/>
      <c r="W22" s="98"/>
      <c r="X22" s="99"/>
      <c r="Y22" s="99"/>
      <c r="Z22" s="100"/>
      <c r="AA22" s="100" t="s">
        <v>19</v>
      </c>
      <c r="AB22" s="101">
        <f>AB21-AB20</f>
        <v>0</v>
      </c>
      <c r="AC22" s="97"/>
      <c r="AD22" s="98"/>
      <c r="AE22" s="99"/>
      <c r="AF22" s="99"/>
      <c r="AG22" s="100"/>
      <c r="AH22" s="100" t="s">
        <v>19</v>
      </c>
      <c r="AI22" s="101">
        <f>AI21-AI20</f>
        <v>0</v>
      </c>
      <c r="AJ22" s="111">
        <f>+AI22+AB22+U22+N22</f>
        <v>-23407.474999999999</v>
      </c>
    </row>
    <row r="23" spans="1:37" s="27" customFormat="1" ht="15" customHeight="1">
      <c r="A23" s="32"/>
      <c r="B23" s="34"/>
      <c r="C23" s="34"/>
      <c r="D23" s="34"/>
      <c r="E23" s="33"/>
      <c r="F23" s="28"/>
      <c r="G23" s="28"/>
      <c r="H23" s="28"/>
      <c r="I23" s="28"/>
      <c r="L23" s="29"/>
      <c r="M23" s="29"/>
      <c r="N23" s="29"/>
      <c r="O23" s="28"/>
      <c r="P23" s="28"/>
      <c r="S23" s="29"/>
      <c r="T23" s="29"/>
      <c r="U23" s="29"/>
      <c r="V23" s="28"/>
      <c r="W23" s="28"/>
      <c r="Z23" s="29"/>
      <c r="AA23" s="29"/>
      <c r="AB23" s="29"/>
      <c r="AC23" s="28"/>
      <c r="AD23" s="28"/>
      <c r="AG23" s="29"/>
      <c r="AH23" s="29"/>
      <c r="AI23" s="29"/>
      <c r="AJ23" s="118"/>
    </row>
    <row r="24" spans="1:37" s="27" customFormat="1" ht="15" customHeight="1">
      <c r="C24" s="28" t="s">
        <v>20</v>
      </c>
      <c r="D24" s="28" t="s">
        <v>21</v>
      </c>
      <c r="E24" s="28" t="s">
        <v>22</v>
      </c>
      <c r="F24" s="28"/>
      <c r="G24" s="28"/>
      <c r="H24" s="28"/>
      <c r="K24" s="29"/>
      <c r="L24" s="29"/>
      <c r="M24" s="29"/>
      <c r="N24" s="141"/>
      <c r="O24" s="28"/>
      <c r="R24" s="29"/>
      <c r="S24" s="29"/>
      <c r="T24" s="29"/>
      <c r="U24" s="28"/>
      <c r="V24" s="28"/>
      <c r="Y24" s="29"/>
      <c r="Z24" s="29"/>
      <c r="AA24" s="29"/>
      <c r="AB24" s="28"/>
      <c r="AC24" s="28"/>
      <c r="AF24" s="29"/>
      <c r="AG24" s="29"/>
      <c r="AH24" s="29"/>
      <c r="AI24" s="28"/>
      <c r="AJ24" s="26"/>
    </row>
    <row r="25" spans="1:37" s="27" customFormat="1" ht="15" customHeight="1">
      <c r="A25" s="133" t="s">
        <v>49</v>
      </c>
      <c r="B25" s="134"/>
      <c r="C25" s="132">
        <v>110000</v>
      </c>
      <c r="D25" s="132">
        <f>+C25*1.03</f>
        <v>113300</v>
      </c>
      <c r="E25" s="132">
        <f>+D25*1.03</f>
        <v>116699</v>
      </c>
      <c r="F25" s="134"/>
      <c r="G25" s="134"/>
      <c r="H25" s="134"/>
      <c r="I25" s="28"/>
      <c r="L25" s="135"/>
      <c r="M25" s="29"/>
      <c r="N25" s="142"/>
      <c r="O25" s="28"/>
      <c r="P25" s="28"/>
      <c r="S25" s="29"/>
      <c r="T25" s="29"/>
      <c r="U25" s="29"/>
      <c r="V25" s="28"/>
      <c r="W25" s="28"/>
      <c r="Z25" s="29"/>
      <c r="AA25" s="29"/>
      <c r="AB25" s="29"/>
      <c r="AC25" s="28"/>
      <c r="AD25" s="28"/>
      <c r="AG25" s="29"/>
      <c r="AH25" s="29"/>
      <c r="AI25" s="29"/>
      <c r="AK25" s="26"/>
    </row>
    <row r="26" spans="1:37" s="27" customFormat="1" ht="15" customHeight="1">
      <c r="E26" s="28"/>
      <c r="F26" s="28"/>
      <c r="G26" s="28"/>
      <c r="H26" s="28"/>
      <c r="I26" s="28"/>
      <c r="L26" s="29"/>
      <c r="M26" s="29"/>
      <c r="N26" s="142"/>
      <c r="O26" s="28"/>
      <c r="P26" s="28"/>
      <c r="S26" s="29"/>
      <c r="T26" s="29"/>
      <c r="U26" s="29"/>
      <c r="V26" s="28"/>
      <c r="W26" s="28"/>
      <c r="Z26" s="29"/>
      <c r="AA26" s="29"/>
      <c r="AB26" s="29"/>
      <c r="AC26" s="28"/>
      <c r="AD26" s="28"/>
      <c r="AG26" s="29"/>
      <c r="AH26" s="29"/>
      <c r="AI26" s="29"/>
      <c r="AJ26" s="26"/>
    </row>
    <row r="27" spans="1:37" s="27" customFormat="1" ht="15" customHeight="1" thickBot="1">
      <c r="E27" s="28"/>
      <c r="F27" s="28"/>
      <c r="G27" s="28"/>
      <c r="H27" s="28"/>
      <c r="I27" s="28"/>
      <c r="L27" s="29"/>
      <c r="M27" s="29"/>
      <c r="N27" s="29"/>
      <c r="O27" s="28"/>
      <c r="P27" s="28"/>
      <c r="S27" s="29"/>
      <c r="T27" s="29"/>
      <c r="U27" s="29"/>
      <c r="V27" s="28"/>
      <c r="W27" s="28"/>
      <c r="Z27" s="29"/>
      <c r="AA27" s="29"/>
      <c r="AB27" s="29"/>
      <c r="AC27" s="28"/>
      <c r="AD27" s="28"/>
      <c r="AG27" s="29"/>
      <c r="AH27" s="29"/>
      <c r="AI27" s="29"/>
      <c r="AJ27" s="26"/>
    </row>
    <row r="28" spans="1:37" s="27" customFormat="1" ht="15" customHeight="1">
      <c r="A28" s="150" t="s">
        <v>51</v>
      </c>
      <c r="B28" s="151"/>
      <c r="C28" s="151"/>
      <c r="D28" s="151"/>
      <c r="E28" s="152"/>
      <c r="F28" s="152"/>
      <c r="G28" s="152">
        <v>40</v>
      </c>
      <c r="H28" s="153">
        <f>+G28*125</f>
        <v>5000</v>
      </c>
      <c r="I28" s="28"/>
      <c r="L28" s="29"/>
      <c r="M28" s="29"/>
      <c r="N28" s="29"/>
      <c r="O28" s="28"/>
      <c r="P28" s="28"/>
      <c r="S28" s="29"/>
      <c r="T28" s="29"/>
      <c r="U28" s="29"/>
      <c r="V28" s="28"/>
      <c r="W28" s="28"/>
      <c r="Z28" s="29"/>
      <c r="AA28" s="29"/>
      <c r="AB28" s="29"/>
      <c r="AC28" s="28"/>
      <c r="AD28" s="28"/>
      <c r="AG28" s="29"/>
      <c r="AH28" s="29"/>
      <c r="AI28" s="29"/>
      <c r="AJ28" s="26"/>
    </row>
    <row r="29" spans="1:37" s="27" customFormat="1" ht="15" customHeight="1">
      <c r="A29" s="154" t="s">
        <v>52</v>
      </c>
      <c r="B29" s="155"/>
      <c r="C29" s="155"/>
      <c r="D29" s="155"/>
      <c r="E29" s="156"/>
      <c r="F29" s="156"/>
      <c r="G29" s="156">
        <v>10</v>
      </c>
      <c r="H29" s="157">
        <f>+G29*125</f>
        <v>1250</v>
      </c>
      <c r="I29" s="28"/>
      <c r="L29" s="29"/>
      <c r="M29" s="29"/>
      <c r="N29" s="29"/>
      <c r="O29" s="28"/>
      <c r="P29" s="28"/>
      <c r="S29" s="29"/>
      <c r="T29" s="29"/>
      <c r="U29" s="29"/>
      <c r="V29" s="28"/>
      <c r="W29" s="28"/>
      <c r="Z29" s="29"/>
      <c r="AA29" s="29"/>
      <c r="AB29" s="29"/>
      <c r="AC29" s="28"/>
      <c r="AD29" s="28"/>
      <c r="AG29" s="29"/>
      <c r="AH29" s="29"/>
      <c r="AI29" s="29"/>
      <c r="AJ29" s="26"/>
    </row>
    <row r="30" spans="1:37" s="27" customFormat="1" ht="15" customHeight="1">
      <c r="A30" s="154" t="s">
        <v>54</v>
      </c>
      <c r="B30" s="155"/>
      <c r="C30" s="155"/>
      <c r="D30" s="155"/>
      <c r="E30" s="156"/>
      <c r="F30" s="156"/>
      <c r="G30" s="156">
        <v>15</v>
      </c>
      <c r="H30" s="157">
        <f>+G30*125</f>
        <v>1875</v>
      </c>
      <c r="I30" s="28"/>
      <c r="L30" s="29"/>
      <c r="M30" s="29"/>
      <c r="N30" s="29"/>
      <c r="O30" s="28"/>
      <c r="P30" s="28"/>
      <c r="S30" s="29"/>
      <c r="T30" s="29"/>
      <c r="U30" s="29"/>
      <c r="V30" s="28"/>
      <c r="W30" s="28"/>
      <c r="Z30" s="29"/>
      <c r="AA30" s="29"/>
      <c r="AB30" s="29"/>
      <c r="AC30" s="28"/>
      <c r="AD30" s="28"/>
      <c r="AG30" s="29"/>
      <c r="AH30" s="29"/>
      <c r="AI30" s="29"/>
      <c r="AJ30" s="26"/>
    </row>
    <row r="31" spans="1:37" s="27" customFormat="1" ht="15" customHeight="1" thickBot="1">
      <c r="A31" s="158"/>
      <c r="B31" s="155"/>
      <c r="C31" s="155"/>
      <c r="D31" s="155"/>
      <c r="E31" s="156"/>
      <c r="F31" s="156"/>
      <c r="G31" s="156"/>
      <c r="H31" s="159">
        <f>SUM(H28:H30)</f>
        <v>8125</v>
      </c>
      <c r="I31" s="28"/>
      <c r="L31" s="29"/>
      <c r="M31" s="29"/>
      <c r="N31" s="29"/>
      <c r="O31" s="28"/>
      <c r="P31" s="28"/>
      <c r="S31" s="29"/>
      <c r="T31" s="29"/>
      <c r="U31" s="29"/>
      <c r="V31" s="28"/>
      <c r="W31" s="28"/>
      <c r="Z31" s="29"/>
      <c r="AA31" s="29"/>
      <c r="AB31" s="29"/>
      <c r="AC31" s="28"/>
      <c r="AD31" s="28"/>
      <c r="AG31" s="29"/>
      <c r="AH31" s="29"/>
      <c r="AI31" s="29"/>
      <c r="AJ31" s="26"/>
    </row>
    <row r="32" spans="1:37" s="27" customFormat="1" ht="15" customHeight="1" thickTop="1">
      <c r="A32" s="158"/>
      <c r="B32" s="155"/>
      <c r="C32" s="155"/>
      <c r="D32" s="155"/>
      <c r="E32" s="156"/>
      <c r="F32" s="156"/>
      <c r="G32" s="156"/>
      <c r="H32" s="157"/>
      <c r="I32" s="28"/>
      <c r="L32" s="29"/>
      <c r="M32" s="29"/>
      <c r="N32" s="29"/>
      <c r="O32" s="28"/>
      <c r="P32" s="28"/>
      <c r="S32" s="29"/>
      <c r="T32" s="29"/>
      <c r="U32" s="29"/>
      <c r="V32" s="28"/>
      <c r="W32" s="28"/>
      <c r="Z32" s="29"/>
      <c r="AA32" s="29"/>
      <c r="AB32" s="29"/>
      <c r="AC32" s="28"/>
      <c r="AD32" s="28"/>
      <c r="AG32" s="29"/>
      <c r="AH32" s="29"/>
      <c r="AI32" s="29"/>
      <c r="AJ32" s="26"/>
    </row>
    <row r="33" spans="1:36" s="27" customFormat="1" ht="15" customHeight="1" thickBot="1">
      <c r="A33" s="160"/>
      <c r="B33" s="161"/>
      <c r="C33" s="161"/>
      <c r="D33" s="161"/>
      <c r="E33" s="162"/>
      <c r="F33" s="162"/>
      <c r="G33" s="162"/>
      <c r="H33" s="163"/>
      <c r="I33" s="28"/>
      <c r="L33" s="29"/>
      <c r="M33" s="29"/>
      <c r="N33" s="29"/>
      <c r="O33" s="28"/>
      <c r="P33" s="28"/>
      <c r="S33" s="29"/>
      <c r="T33" s="29"/>
      <c r="U33" s="29"/>
      <c r="V33" s="28"/>
      <c r="W33" s="28"/>
      <c r="Z33" s="29"/>
      <c r="AA33" s="29"/>
      <c r="AB33" s="29"/>
      <c r="AC33" s="28"/>
      <c r="AD33" s="28"/>
      <c r="AG33" s="29"/>
      <c r="AH33" s="29"/>
      <c r="AI33" s="29"/>
      <c r="AJ33" s="26"/>
    </row>
    <row r="34" spans="1:36" s="27" customFormat="1" ht="15" customHeight="1">
      <c r="E34" s="28"/>
      <c r="F34" s="28"/>
      <c r="G34" s="28"/>
      <c r="H34" s="149"/>
      <c r="I34" s="28"/>
      <c r="L34" s="29"/>
      <c r="M34" s="29"/>
      <c r="N34" s="29"/>
      <c r="O34" s="28"/>
      <c r="P34" s="28"/>
      <c r="S34" s="29"/>
      <c r="T34" s="29"/>
      <c r="U34" s="29"/>
      <c r="V34" s="28"/>
      <c r="W34" s="28"/>
      <c r="Z34" s="29"/>
      <c r="AA34" s="29"/>
      <c r="AB34" s="29"/>
      <c r="AC34" s="28"/>
      <c r="AD34" s="28"/>
      <c r="AG34" s="29"/>
      <c r="AH34" s="29"/>
      <c r="AI34" s="29"/>
      <c r="AJ34" s="26"/>
    </row>
    <row r="35" spans="1:36" s="27" customFormat="1" ht="15" customHeight="1">
      <c r="E35" s="28"/>
      <c r="F35" s="28"/>
      <c r="G35" s="28"/>
      <c r="H35" s="28"/>
      <c r="I35" s="28"/>
      <c r="L35" s="29"/>
      <c r="M35" s="29"/>
      <c r="N35" s="29"/>
      <c r="O35" s="28"/>
      <c r="P35" s="28"/>
      <c r="S35" s="29"/>
      <c r="T35" s="29"/>
      <c r="U35" s="29"/>
      <c r="V35" s="28"/>
      <c r="W35" s="28"/>
      <c r="Z35" s="29"/>
      <c r="AA35" s="29"/>
      <c r="AB35" s="29"/>
      <c r="AC35" s="28"/>
      <c r="AD35" s="28"/>
      <c r="AG35" s="29"/>
      <c r="AH35" s="29"/>
      <c r="AI35" s="29"/>
      <c r="AJ35" s="26"/>
    </row>
    <row r="36" spans="1:36" s="27" customFormat="1" ht="15" customHeight="1">
      <c r="E36" s="28"/>
      <c r="F36" s="28"/>
      <c r="G36" s="28"/>
      <c r="H36" s="28"/>
      <c r="I36" s="28"/>
      <c r="L36" s="29"/>
      <c r="M36" s="29"/>
      <c r="N36" s="29"/>
      <c r="O36" s="28"/>
      <c r="P36" s="28"/>
      <c r="S36" s="29"/>
      <c r="T36" s="29"/>
      <c r="U36" s="29"/>
      <c r="V36" s="28"/>
      <c r="W36" s="28"/>
      <c r="Z36" s="29"/>
      <c r="AA36" s="29"/>
      <c r="AB36" s="29"/>
      <c r="AC36" s="28"/>
      <c r="AD36" s="28"/>
      <c r="AG36" s="29"/>
      <c r="AH36" s="29"/>
      <c r="AI36" s="29"/>
      <c r="AJ36" s="26"/>
    </row>
    <row r="37" spans="1:36" s="27" customFormat="1" ht="15" customHeight="1">
      <c r="E37" s="28"/>
      <c r="F37" s="28"/>
      <c r="G37" s="28"/>
      <c r="H37" s="28"/>
      <c r="I37" s="28"/>
      <c r="L37" s="29"/>
      <c r="M37" s="29"/>
      <c r="N37" s="29"/>
      <c r="O37" s="28"/>
      <c r="P37" s="28"/>
      <c r="S37" s="29"/>
      <c r="T37" s="29"/>
      <c r="U37" s="29"/>
      <c r="V37" s="28"/>
      <c r="W37" s="28"/>
      <c r="Z37" s="29"/>
      <c r="AA37" s="29"/>
      <c r="AB37" s="29"/>
      <c r="AC37" s="28"/>
      <c r="AD37" s="28"/>
      <c r="AG37" s="29"/>
      <c r="AH37" s="29"/>
      <c r="AI37" s="29"/>
      <c r="AJ37" s="26"/>
    </row>
    <row r="38" spans="1:36" s="27" customFormat="1" ht="15" customHeight="1">
      <c r="E38" s="28"/>
      <c r="F38" s="28"/>
      <c r="G38" s="28"/>
      <c r="H38" s="28"/>
      <c r="I38" s="28"/>
      <c r="L38" s="29"/>
      <c r="M38" s="29"/>
      <c r="N38" s="29"/>
      <c r="O38" s="28"/>
      <c r="P38" s="28"/>
      <c r="S38" s="29"/>
      <c r="T38" s="29"/>
      <c r="U38" s="29"/>
      <c r="V38" s="28"/>
      <c r="W38" s="28"/>
      <c r="Z38" s="29"/>
      <c r="AA38" s="29"/>
      <c r="AB38" s="29"/>
      <c r="AC38" s="28"/>
      <c r="AD38" s="28"/>
      <c r="AG38" s="29"/>
      <c r="AH38" s="29"/>
      <c r="AI38" s="29"/>
      <c r="AJ38" s="26"/>
    </row>
    <row r="39" spans="1:36" s="27" customFormat="1" ht="15" customHeight="1">
      <c r="E39" s="28"/>
      <c r="F39" s="28"/>
      <c r="G39" s="28"/>
      <c r="H39" s="28"/>
      <c r="I39" s="28"/>
      <c r="L39" s="29"/>
      <c r="M39" s="29"/>
      <c r="N39" s="29"/>
      <c r="O39" s="28"/>
      <c r="P39" s="28"/>
      <c r="S39" s="29"/>
      <c r="T39" s="29"/>
      <c r="U39" s="29"/>
      <c r="V39" s="28"/>
      <c r="W39" s="28"/>
      <c r="Z39" s="29"/>
      <c r="AA39" s="29"/>
      <c r="AB39" s="29"/>
      <c r="AC39" s="28"/>
      <c r="AD39" s="28"/>
      <c r="AG39" s="29"/>
      <c r="AH39" s="29"/>
      <c r="AI39" s="29"/>
      <c r="AJ39" s="26"/>
    </row>
    <row r="40" spans="1:36" s="27" customFormat="1" ht="15" customHeight="1">
      <c r="E40" s="28"/>
      <c r="F40" s="28"/>
      <c r="G40" s="28"/>
      <c r="H40" s="28"/>
      <c r="I40" s="28"/>
      <c r="L40" s="29"/>
      <c r="M40" s="29"/>
      <c r="N40" s="29"/>
      <c r="O40" s="28"/>
      <c r="P40" s="28"/>
      <c r="S40" s="29"/>
      <c r="T40" s="29"/>
      <c r="U40" s="29"/>
      <c r="V40" s="28"/>
      <c r="W40" s="28"/>
      <c r="Z40" s="29"/>
      <c r="AA40" s="29"/>
      <c r="AB40" s="29"/>
      <c r="AC40" s="28"/>
      <c r="AD40" s="28"/>
      <c r="AG40" s="29"/>
      <c r="AH40" s="29"/>
      <c r="AI40" s="29"/>
      <c r="AJ40" s="26"/>
    </row>
    <row r="41" spans="1:36" s="27" customFormat="1" ht="15" customHeight="1">
      <c r="E41" s="28"/>
      <c r="F41" s="28"/>
      <c r="G41" s="28"/>
      <c r="H41" s="28"/>
      <c r="I41" s="28"/>
      <c r="L41" s="29"/>
      <c r="M41" s="29"/>
      <c r="N41" s="29"/>
      <c r="O41" s="28"/>
      <c r="P41" s="28"/>
      <c r="S41" s="29"/>
      <c r="T41" s="29"/>
      <c r="U41" s="29"/>
      <c r="V41" s="28"/>
      <c r="W41" s="28"/>
      <c r="Z41" s="29"/>
      <c r="AA41" s="29"/>
      <c r="AB41" s="29"/>
      <c r="AC41" s="28"/>
      <c r="AD41" s="28"/>
      <c r="AG41" s="29"/>
      <c r="AH41" s="29"/>
      <c r="AI41" s="29"/>
      <c r="AJ41" s="26"/>
    </row>
    <row r="42" spans="1:36" s="27" customFormat="1" ht="15" customHeight="1">
      <c r="E42" s="28"/>
      <c r="F42" s="28"/>
      <c r="G42" s="28"/>
      <c r="H42" s="28"/>
      <c r="I42" s="28"/>
      <c r="L42" s="29"/>
      <c r="M42" s="29"/>
      <c r="N42" s="29"/>
      <c r="O42" s="28"/>
      <c r="P42" s="28"/>
      <c r="S42" s="29"/>
      <c r="T42" s="29"/>
      <c r="U42" s="29"/>
      <c r="V42" s="28"/>
      <c r="W42" s="28"/>
      <c r="Z42" s="29"/>
      <c r="AA42" s="29"/>
      <c r="AB42" s="29"/>
      <c r="AC42" s="28"/>
      <c r="AD42" s="28"/>
      <c r="AG42" s="29"/>
      <c r="AH42" s="29"/>
      <c r="AI42" s="29"/>
      <c r="AJ42" s="26"/>
    </row>
    <row r="43" spans="1:36" s="27" customFormat="1" ht="15" customHeight="1">
      <c r="E43" s="28"/>
      <c r="F43" s="28"/>
      <c r="G43" s="28"/>
      <c r="H43" s="28"/>
      <c r="I43" s="28"/>
      <c r="L43" s="29"/>
      <c r="M43" s="29"/>
      <c r="N43" s="29"/>
      <c r="O43" s="28"/>
      <c r="P43" s="28"/>
      <c r="S43" s="29"/>
      <c r="T43" s="29"/>
      <c r="U43" s="29"/>
      <c r="V43" s="28"/>
      <c r="W43" s="28"/>
      <c r="Z43" s="29"/>
      <c r="AA43" s="29"/>
      <c r="AB43" s="29"/>
      <c r="AC43" s="28"/>
      <c r="AD43" s="28"/>
      <c r="AG43" s="29"/>
      <c r="AH43" s="29"/>
      <c r="AI43" s="29"/>
      <c r="AJ43" s="26"/>
    </row>
    <row r="44" spans="1:36" s="27" customFormat="1" ht="15" customHeight="1">
      <c r="E44" s="28"/>
      <c r="F44" s="28"/>
      <c r="G44" s="28"/>
      <c r="H44" s="28"/>
      <c r="I44" s="28"/>
      <c r="L44" s="29"/>
      <c r="M44" s="29"/>
      <c r="N44" s="29"/>
      <c r="O44" s="28"/>
      <c r="P44" s="28"/>
      <c r="S44" s="29"/>
      <c r="T44" s="29"/>
      <c r="U44" s="29"/>
      <c r="V44" s="28"/>
      <c r="W44" s="28"/>
      <c r="Z44" s="29"/>
      <c r="AA44" s="29"/>
      <c r="AB44" s="29"/>
      <c r="AC44" s="28"/>
      <c r="AD44" s="28"/>
      <c r="AG44" s="29"/>
      <c r="AH44" s="29"/>
      <c r="AI44" s="29"/>
      <c r="AJ44" s="26"/>
    </row>
    <row r="45" spans="1:36" s="27" customFormat="1" ht="15" customHeight="1">
      <c r="E45" s="28"/>
      <c r="F45" s="28"/>
      <c r="G45" s="28"/>
      <c r="H45" s="28"/>
      <c r="I45" s="28"/>
      <c r="L45" s="29"/>
      <c r="M45" s="29"/>
      <c r="N45" s="29"/>
      <c r="O45" s="28"/>
      <c r="P45" s="28"/>
      <c r="S45" s="29"/>
      <c r="T45" s="29"/>
      <c r="U45" s="29"/>
      <c r="V45" s="28"/>
      <c r="W45" s="28"/>
      <c r="Z45" s="29"/>
      <c r="AA45" s="29"/>
      <c r="AB45" s="29"/>
      <c r="AC45" s="28"/>
      <c r="AD45" s="28"/>
      <c r="AG45" s="29"/>
      <c r="AH45" s="29"/>
      <c r="AI45" s="29"/>
      <c r="AJ45" s="26"/>
    </row>
    <row r="46" spans="1:36" s="27" customFormat="1" ht="15" customHeight="1">
      <c r="E46" s="28"/>
      <c r="F46" s="28"/>
      <c r="G46" s="28"/>
      <c r="H46" s="28"/>
      <c r="I46" s="28"/>
      <c r="L46" s="29"/>
      <c r="M46" s="29"/>
      <c r="N46" s="29"/>
      <c r="O46" s="28"/>
      <c r="P46" s="28"/>
      <c r="S46" s="29"/>
      <c r="T46" s="29"/>
      <c r="U46" s="29"/>
      <c r="V46" s="28"/>
      <c r="W46" s="28"/>
      <c r="Z46" s="29"/>
      <c r="AA46" s="29"/>
      <c r="AB46" s="29"/>
      <c r="AC46" s="28"/>
      <c r="AD46" s="28"/>
      <c r="AG46" s="29"/>
      <c r="AH46" s="29"/>
      <c r="AI46" s="29"/>
      <c r="AJ46" s="26"/>
    </row>
    <row r="47" spans="1:36" s="27" customFormat="1" ht="15" customHeight="1">
      <c r="E47" s="28"/>
      <c r="F47" s="28"/>
      <c r="G47" s="28"/>
      <c r="H47" s="28"/>
      <c r="I47" s="28"/>
      <c r="L47" s="29"/>
      <c r="M47" s="29"/>
      <c r="N47" s="29"/>
      <c r="O47" s="28"/>
      <c r="P47" s="28"/>
      <c r="S47" s="29"/>
      <c r="T47" s="29"/>
      <c r="U47" s="29"/>
      <c r="V47" s="28"/>
      <c r="W47" s="28"/>
      <c r="Z47" s="29"/>
      <c r="AA47" s="29"/>
      <c r="AB47" s="29"/>
      <c r="AC47" s="28"/>
      <c r="AD47" s="28"/>
      <c r="AG47" s="29"/>
      <c r="AH47" s="29"/>
      <c r="AI47" s="29"/>
      <c r="AJ47" s="26"/>
    </row>
    <row r="48" spans="1:36" s="27" customFormat="1" ht="15" customHeight="1">
      <c r="E48" s="28"/>
      <c r="F48" s="28"/>
      <c r="G48" s="28"/>
      <c r="H48" s="28"/>
      <c r="I48" s="28"/>
      <c r="L48" s="29"/>
      <c r="M48" s="29"/>
      <c r="N48" s="29"/>
      <c r="O48" s="28"/>
      <c r="P48" s="28"/>
      <c r="S48" s="29"/>
      <c r="T48" s="29"/>
      <c r="U48" s="29"/>
      <c r="V48" s="28"/>
      <c r="W48" s="28"/>
      <c r="Z48" s="29"/>
      <c r="AA48" s="29"/>
      <c r="AB48" s="29"/>
      <c r="AC48" s="28"/>
      <c r="AD48" s="28"/>
      <c r="AG48" s="29"/>
      <c r="AH48" s="29"/>
      <c r="AI48" s="29"/>
      <c r="AJ48" s="26"/>
    </row>
    <row r="49" spans="5:36" s="27" customFormat="1" ht="15" customHeight="1">
      <c r="E49" s="28"/>
      <c r="F49" s="28"/>
      <c r="G49" s="28"/>
      <c r="H49" s="28"/>
      <c r="I49" s="28"/>
      <c r="L49" s="29"/>
      <c r="M49" s="29"/>
      <c r="N49" s="29"/>
      <c r="O49" s="28"/>
      <c r="P49" s="28"/>
      <c r="S49" s="29"/>
      <c r="T49" s="29"/>
      <c r="U49" s="29"/>
      <c r="V49" s="28"/>
      <c r="W49" s="28"/>
      <c r="Z49" s="29"/>
      <c r="AA49" s="29"/>
      <c r="AB49" s="29"/>
      <c r="AC49" s="28"/>
      <c r="AD49" s="28"/>
      <c r="AG49" s="29"/>
      <c r="AH49" s="29"/>
      <c r="AI49" s="29"/>
      <c r="AJ49" s="26"/>
    </row>
    <row r="50" spans="5:36" s="27" customFormat="1" ht="15" customHeight="1">
      <c r="E50" s="28"/>
      <c r="F50" s="28"/>
      <c r="G50" s="28"/>
      <c r="H50" s="28"/>
      <c r="I50" s="28"/>
      <c r="L50" s="29"/>
      <c r="M50" s="29"/>
      <c r="N50" s="29"/>
      <c r="O50" s="28"/>
      <c r="P50" s="28"/>
      <c r="S50" s="29"/>
      <c r="T50" s="29"/>
      <c r="U50" s="29"/>
      <c r="V50" s="28"/>
      <c r="W50" s="28"/>
      <c r="Z50" s="29"/>
      <c r="AA50" s="29"/>
      <c r="AB50" s="29"/>
      <c r="AC50" s="28"/>
      <c r="AD50" s="28"/>
      <c r="AG50" s="29"/>
      <c r="AH50" s="29"/>
      <c r="AI50" s="29"/>
      <c r="AJ50" s="26"/>
    </row>
    <row r="51" spans="5:36" s="27" customFormat="1" ht="15" customHeight="1">
      <c r="E51" s="28"/>
      <c r="F51" s="28"/>
      <c r="G51" s="28"/>
      <c r="H51" s="28"/>
      <c r="I51" s="28"/>
      <c r="L51" s="29"/>
      <c r="M51" s="29"/>
      <c r="N51" s="29"/>
      <c r="O51" s="28"/>
      <c r="P51" s="28"/>
      <c r="S51" s="29"/>
      <c r="T51" s="29"/>
      <c r="U51" s="29"/>
      <c r="V51" s="28"/>
      <c r="W51" s="28"/>
      <c r="Z51" s="29"/>
      <c r="AA51" s="29"/>
      <c r="AB51" s="29"/>
      <c r="AC51" s="28"/>
      <c r="AD51" s="28"/>
      <c r="AG51" s="29"/>
      <c r="AH51" s="29"/>
      <c r="AI51" s="29"/>
      <c r="AJ51" s="26"/>
    </row>
    <row r="52" spans="5:36" s="27" customFormat="1" ht="15" customHeight="1">
      <c r="E52" s="28"/>
      <c r="F52" s="28"/>
      <c r="G52" s="28"/>
      <c r="H52" s="28"/>
      <c r="I52" s="28"/>
      <c r="L52" s="29"/>
      <c r="M52" s="29"/>
      <c r="N52" s="29"/>
      <c r="O52" s="28"/>
      <c r="P52" s="28"/>
      <c r="S52" s="29"/>
      <c r="T52" s="29"/>
      <c r="U52" s="29"/>
      <c r="V52" s="28"/>
      <c r="W52" s="28"/>
      <c r="Z52" s="29"/>
      <c r="AA52" s="29"/>
      <c r="AB52" s="29"/>
      <c r="AC52" s="28"/>
      <c r="AD52" s="28"/>
      <c r="AG52" s="29"/>
      <c r="AH52" s="29"/>
      <c r="AI52" s="29"/>
      <c r="AJ52" s="26"/>
    </row>
    <row r="53" spans="5:36" s="27" customFormat="1" ht="15" customHeight="1">
      <c r="E53" s="28"/>
      <c r="F53" s="28"/>
      <c r="G53" s="28"/>
      <c r="H53" s="28"/>
      <c r="I53" s="28"/>
      <c r="L53" s="29"/>
      <c r="M53" s="29"/>
      <c r="N53" s="29"/>
      <c r="O53" s="28"/>
      <c r="P53" s="28"/>
      <c r="S53" s="29"/>
      <c r="T53" s="29"/>
      <c r="U53" s="29"/>
      <c r="V53" s="28"/>
      <c r="W53" s="28"/>
      <c r="Z53" s="29"/>
      <c r="AA53" s="29"/>
      <c r="AB53" s="29"/>
      <c r="AC53" s="28"/>
      <c r="AD53" s="28"/>
      <c r="AG53" s="29"/>
      <c r="AH53" s="29"/>
      <c r="AI53" s="29"/>
      <c r="AJ53" s="26"/>
    </row>
    <row r="54" spans="5:36" s="27" customFormat="1" ht="15" customHeight="1">
      <c r="E54" s="28"/>
      <c r="F54" s="28"/>
      <c r="G54" s="28"/>
      <c r="H54" s="28"/>
      <c r="I54" s="28"/>
      <c r="L54" s="29"/>
      <c r="M54" s="29"/>
      <c r="N54" s="29"/>
      <c r="O54" s="28"/>
      <c r="P54" s="28"/>
      <c r="S54" s="29"/>
      <c r="T54" s="29"/>
      <c r="U54" s="29"/>
      <c r="V54" s="28"/>
      <c r="W54" s="28"/>
      <c r="Z54" s="29"/>
      <c r="AA54" s="29"/>
      <c r="AB54" s="29"/>
      <c r="AC54" s="28"/>
      <c r="AD54" s="28"/>
      <c r="AG54" s="29"/>
      <c r="AH54" s="29"/>
      <c r="AI54" s="29"/>
      <c r="AJ54" s="26"/>
    </row>
    <row r="55" spans="5:36" s="27" customFormat="1" ht="15" customHeight="1">
      <c r="E55" s="28"/>
      <c r="F55" s="28"/>
      <c r="G55" s="28"/>
      <c r="H55" s="28"/>
      <c r="I55" s="28"/>
      <c r="L55" s="29"/>
      <c r="M55" s="29"/>
      <c r="N55" s="29"/>
      <c r="O55" s="28"/>
      <c r="P55" s="28"/>
      <c r="S55" s="29"/>
      <c r="T55" s="29"/>
      <c r="U55" s="29"/>
      <c r="V55" s="28"/>
      <c r="W55" s="28"/>
      <c r="Z55" s="29"/>
      <c r="AA55" s="29"/>
      <c r="AB55" s="29"/>
      <c r="AC55" s="28"/>
      <c r="AD55" s="28"/>
      <c r="AG55" s="29"/>
      <c r="AH55" s="29"/>
      <c r="AI55" s="29"/>
      <c r="AJ55" s="26"/>
    </row>
    <row r="56" spans="5:36" s="27" customFormat="1" ht="15" customHeight="1">
      <c r="E56" s="28"/>
      <c r="F56" s="28"/>
      <c r="G56" s="28"/>
      <c r="H56" s="28"/>
      <c r="I56" s="28"/>
      <c r="L56" s="29"/>
      <c r="M56" s="29"/>
      <c r="N56" s="29"/>
      <c r="O56" s="28"/>
      <c r="P56" s="28"/>
      <c r="S56" s="29"/>
      <c r="T56" s="29"/>
      <c r="U56" s="29"/>
      <c r="V56" s="28"/>
      <c r="W56" s="28"/>
      <c r="Z56" s="29"/>
      <c r="AA56" s="29"/>
      <c r="AB56" s="29"/>
      <c r="AC56" s="28"/>
      <c r="AD56" s="28"/>
      <c r="AG56" s="29"/>
      <c r="AH56" s="29"/>
      <c r="AI56" s="29"/>
      <c r="AJ56" s="26"/>
    </row>
    <row r="57" spans="5:36" s="27" customFormat="1" ht="15" customHeight="1">
      <c r="E57" s="28"/>
      <c r="F57" s="28"/>
      <c r="G57" s="28"/>
      <c r="H57" s="28"/>
      <c r="I57" s="28"/>
      <c r="L57" s="29"/>
      <c r="M57" s="29"/>
      <c r="N57" s="29"/>
      <c r="O57" s="28"/>
      <c r="P57" s="28"/>
      <c r="S57" s="29"/>
      <c r="T57" s="29"/>
      <c r="U57" s="29"/>
      <c r="V57" s="28"/>
      <c r="W57" s="28"/>
      <c r="Z57" s="29"/>
      <c r="AA57" s="29"/>
      <c r="AB57" s="29"/>
      <c r="AC57" s="28"/>
      <c r="AD57" s="28"/>
      <c r="AG57" s="29"/>
      <c r="AH57" s="29"/>
      <c r="AI57" s="29"/>
      <c r="AJ57" s="26"/>
    </row>
    <row r="58" spans="5:36" s="27" customFormat="1" ht="15" customHeight="1">
      <c r="E58" s="28"/>
      <c r="F58" s="28"/>
      <c r="G58" s="28"/>
      <c r="H58" s="28"/>
      <c r="I58" s="28"/>
      <c r="L58" s="29"/>
      <c r="M58" s="29"/>
      <c r="N58" s="29"/>
      <c r="O58" s="28"/>
      <c r="P58" s="28"/>
      <c r="S58" s="29"/>
      <c r="T58" s="29"/>
      <c r="U58" s="29"/>
      <c r="V58" s="28"/>
      <c r="W58" s="28"/>
      <c r="Z58" s="29"/>
      <c r="AA58" s="29"/>
      <c r="AB58" s="29"/>
      <c r="AC58" s="28"/>
      <c r="AD58" s="28"/>
      <c r="AG58" s="29"/>
      <c r="AH58" s="29"/>
      <c r="AI58" s="29"/>
      <c r="AJ58" s="26"/>
    </row>
    <row r="59" spans="5:36" s="27" customFormat="1" ht="15" customHeight="1">
      <c r="E59" s="28"/>
      <c r="F59" s="28"/>
      <c r="G59" s="28"/>
      <c r="H59" s="28"/>
      <c r="I59" s="28"/>
      <c r="L59" s="29"/>
      <c r="M59" s="29"/>
      <c r="N59" s="29"/>
      <c r="O59" s="28"/>
      <c r="P59" s="28"/>
      <c r="S59" s="29"/>
      <c r="T59" s="29"/>
      <c r="U59" s="29"/>
      <c r="V59" s="28"/>
      <c r="W59" s="28"/>
      <c r="Z59" s="29"/>
      <c r="AA59" s="29"/>
      <c r="AB59" s="29"/>
      <c r="AC59" s="28"/>
      <c r="AD59" s="28"/>
      <c r="AG59" s="29"/>
      <c r="AH59" s="29"/>
      <c r="AI59" s="29"/>
      <c r="AJ59" s="26"/>
    </row>
    <row r="60" spans="5:36" s="27" customFormat="1" ht="15" customHeight="1">
      <c r="E60" s="28"/>
      <c r="F60" s="28"/>
      <c r="G60" s="28"/>
      <c r="H60" s="28"/>
      <c r="I60" s="28"/>
      <c r="L60" s="29"/>
      <c r="M60" s="29"/>
      <c r="N60" s="29"/>
      <c r="O60" s="28"/>
      <c r="P60" s="28"/>
      <c r="S60" s="29"/>
      <c r="T60" s="29"/>
      <c r="U60" s="29"/>
      <c r="V60" s="28"/>
      <c r="W60" s="28"/>
      <c r="Z60" s="29"/>
      <c r="AA60" s="29"/>
      <c r="AB60" s="29"/>
      <c r="AC60" s="28"/>
      <c r="AD60" s="28"/>
      <c r="AG60" s="29"/>
      <c r="AH60" s="29"/>
      <c r="AI60" s="29"/>
      <c r="AJ60" s="26"/>
    </row>
    <row r="61" spans="5:36" s="27" customFormat="1" ht="15" customHeight="1">
      <c r="E61" s="28"/>
      <c r="F61" s="28"/>
      <c r="G61" s="28"/>
      <c r="H61" s="28"/>
      <c r="I61" s="28"/>
      <c r="L61" s="29"/>
      <c r="M61" s="29"/>
      <c r="N61" s="29"/>
      <c r="O61" s="28"/>
      <c r="P61" s="28"/>
      <c r="S61" s="29"/>
      <c r="T61" s="29"/>
      <c r="U61" s="29"/>
      <c r="V61" s="28"/>
      <c r="W61" s="28"/>
      <c r="Z61" s="29"/>
      <c r="AA61" s="29"/>
      <c r="AB61" s="29"/>
      <c r="AC61" s="28"/>
      <c r="AD61" s="28"/>
      <c r="AG61" s="29"/>
      <c r="AH61" s="29"/>
      <c r="AI61" s="29"/>
      <c r="AJ61" s="26"/>
    </row>
    <row r="62" spans="5:36" s="27" customFormat="1" ht="15" customHeight="1">
      <c r="E62" s="28"/>
      <c r="F62" s="28"/>
      <c r="G62" s="28"/>
      <c r="H62" s="28"/>
      <c r="I62" s="28"/>
      <c r="L62" s="29"/>
      <c r="M62" s="29"/>
      <c r="N62" s="29"/>
      <c r="O62" s="28"/>
      <c r="P62" s="28"/>
      <c r="S62" s="29"/>
      <c r="T62" s="29"/>
      <c r="U62" s="29"/>
      <c r="V62" s="28"/>
      <c r="W62" s="28"/>
      <c r="Z62" s="29"/>
      <c r="AA62" s="29"/>
      <c r="AB62" s="29"/>
      <c r="AC62" s="28"/>
      <c r="AD62" s="28"/>
      <c r="AG62" s="29"/>
      <c r="AH62" s="29"/>
      <c r="AI62" s="29"/>
      <c r="AJ62" s="26"/>
    </row>
    <row r="63" spans="5:36" s="27" customFormat="1" ht="15" customHeight="1">
      <c r="E63" s="28"/>
      <c r="F63" s="28"/>
      <c r="G63" s="28"/>
      <c r="H63" s="28"/>
      <c r="I63" s="28"/>
      <c r="L63" s="29"/>
      <c r="M63" s="29"/>
      <c r="N63" s="29"/>
      <c r="O63" s="28"/>
      <c r="P63" s="28"/>
      <c r="S63" s="29"/>
      <c r="T63" s="29"/>
      <c r="U63" s="29"/>
      <c r="V63" s="28"/>
      <c r="W63" s="28"/>
      <c r="Z63" s="29"/>
      <c r="AA63" s="29"/>
      <c r="AB63" s="29"/>
      <c r="AC63" s="28"/>
      <c r="AD63" s="28"/>
      <c r="AG63" s="29"/>
      <c r="AH63" s="29"/>
      <c r="AI63" s="29"/>
      <c r="AJ63" s="26"/>
    </row>
    <row r="64" spans="5:36" s="27" customFormat="1" ht="15" customHeight="1">
      <c r="E64" s="28"/>
      <c r="F64" s="28"/>
      <c r="G64" s="28"/>
      <c r="H64" s="28"/>
      <c r="I64" s="28"/>
      <c r="L64" s="29"/>
      <c r="M64" s="29"/>
      <c r="N64" s="29"/>
      <c r="O64" s="28"/>
      <c r="P64" s="28"/>
      <c r="S64" s="29"/>
      <c r="T64" s="29"/>
      <c r="U64" s="29"/>
      <c r="V64" s="28"/>
      <c r="W64" s="28"/>
      <c r="Z64" s="29"/>
      <c r="AA64" s="29"/>
      <c r="AB64" s="29"/>
      <c r="AC64" s="28"/>
      <c r="AD64" s="28"/>
      <c r="AG64" s="29"/>
      <c r="AH64" s="29"/>
      <c r="AI64" s="29"/>
      <c r="AJ64" s="26"/>
    </row>
    <row r="65" spans="5:36" s="27" customFormat="1" ht="15" customHeight="1">
      <c r="E65" s="28"/>
      <c r="F65" s="28"/>
      <c r="G65" s="28"/>
      <c r="H65" s="28"/>
      <c r="I65" s="28"/>
      <c r="L65" s="29"/>
      <c r="M65" s="29"/>
      <c r="N65" s="29"/>
      <c r="O65" s="28"/>
      <c r="P65" s="28"/>
      <c r="S65" s="29"/>
      <c r="T65" s="29"/>
      <c r="U65" s="29"/>
      <c r="V65" s="28"/>
      <c r="W65" s="28"/>
      <c r="Z65" s="29"/>
      <c r="AA65" s="29"/>
      <c r="AB65" s="29"/>
      <c r="AC65" s="28"/>
      <c r="AD65" s="28"/>
      <c r="AG65" s="29"/>
      <c r="AH65" s="29"/>
      <c r="AI65" s="29"/>
      <c r="AJ65" s="26"/>
    </row>
    <row r="66" spans="5:36" s="27" customFormat="1" ht="15" customHeight="1">
      <c r="E66" s="28"/>
      <c r="F66" s="28"/>
      <c r="G66" s="28"/>
      <c r="H66" s="28"/>
      <c r="I66" s="28"/>
      <c r="L66" s="29"/>
      <c r="M66" s="29"/>
      <c r="N66" s="29"/>
      <c r="O66" s="28"/>
      <c r="P66" s="28"/>
      <c r="S66" s="29"/>
      <c r="T66" s="29"/>
      <c r="U66" s="29"/>
      <c r="V66" s="28"/>
      <c r="W66" s="28"/>
      <c r="Z66" s="29"/>
      <c r="AA66" s="29"/>
      <c r="AB66" s="29"/>
      <c r="AC66" s="28"/>
      <c r="AD66" s="28"/>
      <c r="AG66" s="29"/>
      <c r="AH66" s="29"/>
      <c r="AI66" s="29"/>
      <c r="AJ66" s="26"/>
    </row>
    <row r="67" spans="5:36" s="27" customFormat="1" ht="15" customHeight="1">
      <c r="E67" s="28"/>
      <c r="F67" s="28"/>
      <c r="G67" s="28"/>
      <c r="H67" s="28"/>
      <c r="I67" s="28"/>
      <c r="L67" s="29"/>
      <c r="M67" s="29"/>
      <c r="N67" s="29"/>
      <c r="O67" s="28"/>
      <c r="P67" s="28"/>
      <c r="S67" s="29"/>
      <c r="T67" s="29"/>
      <c r="U67" s="29"/>
      <c r="V67" s="28"/>
      <c r="W67" s="28"/>
      <c r="Z67" s="29"/>
      <c r="AA67" s="29"/>
      <c r="AB67" s="29"/>
      <c r="AC67" s="28"/>
      <c r="AD67" s="28"/>
      <c r="AG67" s="29"/>
      <c r="AH67" s="29"/>
      <c r="AI67" s="29"/>
      <c r="AJ67" s="26"/>
    </row>
    <row r="68" spans="5:36" s="27" customFormat="1" ht="15" customHeight="1">
      <c r="E68" s="28"/>
      <c r="F68" s="28"/>
      <c r="G68" s="28"/>
      <c r="H68" s="28"/>
      <c r="I68" s="28"/>
      <c r="L68" s="29"/>
      <c r="M68" s="29"/>
      <c r="N68" s="29"/>
      <c r="O68" s="28"/>
      <c r="P68" s="28"/>
      <c r="S68" s="29"/>
      <c r="T68" s="29"/>
      <c r="U68" s="29"/>
      <c r="V68" s="28"/>
      <c r="W68" s="28"/>
      <c r="Z68" s="29"/>
      <c r="AA68" s="29"/>
      <c r="AB68" s="29"/>
      <c r="AC68" s="28"/>
      <c r="AD68" s="28"/>
      <c r="AG68" s="29"/>
      <c r="AH68" s="29"/>
      <c r="AI68" s="29"/>
      <c r="AJ68" s="26"/>
    </row>
    <row r="69" spans="5:36" s="27" customFormat="1" ht="15" customHeight="1">
      <c r="E69" s="28"/>
      <c r="F69" s="28"/>
      <c r="G69" s="28"/>
      <c r="H69" s="28"/>
      <c r="I69" s="28"/>
      <c r="L69" s="29"/>
      <c r="M69" s="29"/>
      <c r="N69" s="29"/>
      <c r="O69" s="28"/>
      <c r="P69" s="28"/>
      <c r="S69" s="29"/>
      <c r="T69" s="29"/>
      <c r="U69" s="29"/>
      <c r="V69" s="28"/>
      <c r="W69" s="28"/>
      <c r="Z69" s="29"/>
      <c r="AA69" s="29"/>
      <c r="AB69" s="29"/>
      <c r="AC69" s="28"/>
      <c r="AD69" s="28"/>
      <c r="AG69" s="29"/>
      <c r="AH69" s="29"/>
      <c r="AI69" s="29"/>
      <c r="AJ69" s="26"/>
    </row>
    <row r="70" spans="5:36" s="27" customFormat="1" ht="15" customHeight="1">
      <c r="E70" s="28"/>
      <c r="F70" s="28"/>
      <c r="G70" s="28"/>
      <c r="H70" s="28"/>
      <c r="I70" s="28"/>
      <c r="L70" s="29"/>
      <c r="M70" s="29"/>
      <c r="N70" s="29"/>
      <c r="O70" s="28"/>
      <c r="P70" s="28"/>
      <c r="S70" s="29"/>
      <c r="T70" s="29"/>
      <c r="U70" s="29"/>
      <c r="V70" s="28"/>
      <c r="W70" s="28"/>
      <c r="Z70" s="29"/>
      <c r="AA70" s="29"/>
      <c r="AB70" s="29"/>
      <c r="AC70" s="28"/>
      <c r="AD70" s="28"/>
      <c r="AG70" s="29"/>
      <c r="AH70" s="29"/>
      <c r="AI70" s="29"/>
      <c r="AJ70" s="26"/>
    </row>
    <row r="71" spans="5:36" s="27" customFormat="1" ht="15" customHeight="1">
      <c r="E71" s="28"/>
      <c r="F71" s="28"/>
      <c r="G71" s="28"/>
      <c r="H71" s="28"/>
      <c r="I71" s="28"/>
      <c r="L71" s="29"/>
      <c r="M71" s="29"/>
      <c r="N71" s="29"/>
      <c r="O71" s="28"/>
      <c r="P71" s="28"/>
      <c r="S71" s="29"/>
      <c r="T71" s="29"/>
      <c r="U71" s="29"/>
      <c r="V71" s="28"/>
      <c r="W71" s="28"/>
      <c r="Z71" s="29"/>
      <c r="AA71" s="29"/>
      <c r="AB71" s="29"/>
      <c r="AC71" s="28"/>
      <c r="AD71" s="28"/>
      <c r="AG71" s="29"/>
      <c r="AH71" s="29"/>
      <c r="AI71" s="29"/>
      <c r="AJ71" s="26"/>
    </row>
    <row r="72" spans="5:36" s="27" customFormat="1" ht="15" customHeight="1">
      <c r="E72" s="28"/>
      <c r="F72" s="28"/>
      <c r="G72" s="28"/>
      <c r="H72" s="28"/>
      <c r="I72" s="28"/>
      <c r="L72" s="29"/>
      <c r="M72" s="29"/>
      <c r="N72" s="29"/>
      <c r="O72" s="28"/>
      <c r="P72" s="28"/>
      <c r="S72" s="29"/>
      <c r="T72" s="29"/>
      <c r="U72" s="29"/>
      <c r="V72" s="28"/>
      <c r="W72" s="28"/>
      <c r="Z72" s="29"/>
      <c r="AA72" s="29"/>
      <c r="AB72" s="29"/>
      <c r="AC72" s="28"/>
      <c r="AD72" s="28"/>
      <c r="AG72" s="29"/>
      <c r="AH72" s="29"/>
      <c r="AI72" s="29"/>
      <c r="AJ72" s="26"/>
    </row>
    <row r="73" spans="5:36" s="27" customFormat="1" ht="15" customHeight="1">
      <c r="E73" s="28"/>
      <c r="F73" s="28"/>
      <c r="G73" s="28"/>
      <c r="H73" s="28"/>
      <c r="I73" s="28"/>
      <c r="L73" s="29"/>
      <c r="M73" s="29"/>
      <c r="N73" s="29"/>
      <c r="O73" s="28"/>
      <c r="P73" s="28"/>
      <c r="S73" s="29"/>
      <c r="T73" s="29"/>
      <c r="U73" s="29"/>
      <c r="V73" s="28"/>
      <c r="W73" s="28"/>
      <c r="Z73" s="29"/>
      <c r="AA73" s="29"/>
      <c r="AB73" s="29"/>
      <c r="AC73" s="28"/>
      <c r="AD73" s="28"/>
      <c r="AG73" s="29"/>
      <c r="AH73" s="29"/>
      <c r="AI73" s="29"/>
      <c r="AJ73" s="26"/>
    </row>
    <row r="74" spans="5:36" s="27" customFormat="1" ht="15" customHeight="1">
      <c r="E74" s="28"/>
      <c r="F74" s="28"/>
      <c r="G74" s="28"/>
      <c r="H74" s="28"/>
      <c r="I74" s="28"/>
      <c r="L74" s="29"/>
      <c r="M74" s="29"/>
      <c r="N74" s="29"/>
      <c r="O74" s="28"/>
      <c r="P74" s="28"/>
      <c r="S74" s="29"/>
      <c r="T74" s="29"/>
      <c r="U74" s="29"/>
      <c r="V74" s="28"/>
      <c r="W74" s="28"/>
      <c r="Z74" s="29"/>
      <c r="AA74" s="29"/>
      <c r="AB74" s="29"/>
      <c r="AC74" s="28"/>
      <c r="AD74" s="28"/>
      <c r="AG74" s="29"/>
      <c r="AH74" s="29"/>
      <c r="AI74" s="29"/>
      <c r="AJ74" s="26"/>
    </row>
    <row r="75" spans="5:36" s="27" customFormat="1" ht="15" customHeight="1">
      <c r="E75" s="28"/>
      <c r="F75" s="28"/>
      <c r="G75" s="28"/>
      <c r="H75" s="28"/>
      <c r="I75" s="28"/>
      <c r="L75" s="29"/>
      <c r="M75" s="29"/>
      <c r="N75" s="29"/>
      <c r="O75" s="28"/>
      <c r="P75" s="28"/>
      <c r="S75" s="29"/>
      <c r="T75" s="29"/>
      <c r="U75" s="29"/>
      <c r="V75" s="28"/>
      <c r="W75" s="28"/>
      <c r="Z75" s="29"/>
      <c r="AA75" s="29"/>
      <c r="AB75" s="29"/>
      <c r="AC75" s="28"/>
      <c r="AD75" s="28"/>
      <c r="AG75" s="29"/>
      <c r="AH75" s="29"/>
      <c r="AI75" s="29"/>
      <c r="AJ75" s="26"/>
    </row>
    <row r="76" spans="5:36" s="27" customFormat="1" ht="15" customHeight="1">
      <c r="E76" s="28"/>
      <c r="F76" s="28"/>
      <c r="G76" s="28"/>
      <c r="H76" s="28"/>
      <c r="I76" s="28"/>
      <c r="L76" s="29"/>
      <c r="M76" s="29"/>
      <c r="N76" s="29"/>
      <c r="O76" s="28"/>
      <c r="P76" s="28"/>
      <c r="S76" s="29"/>
      <c r="T76" s="29"/>
      <c r="U76" s="29"/>
      <c r="V76" s="28"/>
      <c r="W76" s="28"/>
      <c r="Z76" s="29"/>
      <c r="AA76" s="29"/>
      <c r="AB76" s="29"/>
      <c r="AC76" s="28"/>
      <c r="AD76" s="28"/>
      <c r="AG76" s="29"/>
      <c r="AH76" s="29"/>
      <c r="AI76" s="29"/>
      <c r="AJ76" s="26"/>
    </row>
    <row r="77" spans="5:36" s="27" customFormat="1" ht="15" customHeight="1">
      <c r="E77" s="28"/>
      <c r="F77" s="28"/>
      <c r="G77" s="28"/>
      <c r="H77" s="28"/>
      <c r="I77" s="28"/>
      <c r="L77" s="29"/>
      <c r="M77" s="29"/>
      <c r="N77" s="29"/>
      <c r="O77" s="28"/>
      <c r="P77" s="28"/>
      <c r="S77" s="29"/>
      <c r="T77" s="29"/>
      <c r="U77" s="29"/>
      <c r="V77" s="28"/>
      <c r="W77" s="28"/>
      <c r="Z77" s="29"/>
      <c r="AA77" s="29"/>
      <c r="AB77" s="29"/>
      <c r="AC77" s="28"/>
      <c r="AD77" s="28"/>
      <c r="AG77" s="29"/>
      <c r="AH77" s="29"/>
      <c r="AI77" s="29"/>
      <c r="AJ77" s="26"/>
    </row>
    <row r="78" spans="5:36" s="27" customFormat="1" ht="15" customHeight="1">
      <c r="E78" s="28"/>
      <c r="F78" s="28"/>
      <c r="G78" s="28"/>
      <c r="H78" s="28"/>
      <c r="I78" s="28"/>
      <c r="L78" s="29"/>
      <c r="M78" s="29"/>
      <c r="N78" s="29"/>
      <c r="O78" s="28"/>
      <c r="P78" s="28"/>
      <c r="S78" s="29"/>
      <c r="T78" s="29"/>
      <c r="U78" s="29"/>
      <c r="V78" s="28"/>
      <c r="W78" s="28"/>
      <c r="Z78" s="29"/>
      <c r="AA78" s="29"/>
      <c r="AB78" s="29"/>
      <c r="AC78" s="28"/>
      <c r="AD78" s="28"/>
      <c r="AG78" s="29"/>
      <c r="AH78" s="29"/>
      <c r="AI78" s="29"/>
      <c r="AJ78" s="26"/>
    </row>
    <row r="79" spans="5:36" s="27" customFormat="1" ht="15" customHeight="1">
      <c r="E79" s="28"/>
      <c r="F79" s="28"/>
      <c r="G79" s="28"/>
      <c r="H79" s="28"/>
      <c r="I79" s="28"/>
      <c r="L79" s="29"/>
      <c r="M79" s="29"/>
      <c r="N79" s="29"/>
      <c r="O79" s="28"/>
      <c r="P79" s="28"/>
      <c r="S79" s="29"/>
      <c r="T79" s="29"/>
      <c r="U79" s="29"/>
      <c r="V79" s="28"/>
      <c r="W79" s="28"/>
      <c r="Z79" s="29"/>
      <c r="AA79" s="29"/>
      <c r="AB79" s="29"/>
      <c r="AC79" s="28"/>
      <c r="AD79" s="28"/>
      <c r="AG79" s="29"/>
      <c r="AH79" s="29"/>
      <c r="AI79" s="29"/>
      <c r="AJ79" s="26"/>
    </row>
    <row r="80" spans="5:36" s="27" customFormat="1" ht="15" customHeight="1">
      <c r="E80" s="28"/>
      <c r="F80" s="28"/>
      <c r="G80" s="28"/>
      <c r="H80" s="28"/>
      <c r="I80" s="28"/>
      <c r="L80" s="29"/>
      <c r="M80" s="29"/>
      <c r="N80" s="29"/>
      <c r="O80" s="28"/>
      <c r="P80" s="28"/>
      <c r="S80" s="29"/>
      <c r="T80" s="29"/>
      <c r="U80" s="29"/>
      <c r="V80" s="28"/>
      <c r="W80" s="28"/>
      <c r="Z80" s="29"/>
      <c r="AA80" s="29"/>
      <c r="AB80" s="29"/>
      <c r="AC80" s="28"/>
      <c r="AD80" s="28"/>
      <c r="AG80" s="29"/>
      <c r="AH80" s="29"/>
      <c r="AI80" s="29"/>
      <c r="AJ80" s="26"/>
    </row>
    <row r="81" spans="5:36" s="27" customFormat="1" ht="15" customHeight="1">
      <c r="E81" s="28"/>
      <c r="F81" s="28"/>
      <c r="G81" s="28"/>
      <c r="H81" s="28"/>
      <c r="I81" s="28"/>
      <c r="L81" s="29"/>
      <c r="M81" s="29"/>
      <c r="N81" s="29"/>
      <c r="O81" s="28"/>
      <c r="P81" s="28"/>
      <c r="S81" s="29"/>
      <c r="T81" s="29"/>
      <c r="U81" s="29"/>
      <c r="V81" s="28"/>
      <c r="W81" s="28"/>
      <c r="Z81" s="29"/>
      <c r="AA81" s="29"/>
      <c r="AB81" s="29"/>
      <c r="AC81" s="28"/>
      <c r="AD81" s="28"/>
      <c r="AG81" s="29"/>
      <c r="AH81" s="29"/>
      <c r="AI81" s="29"/>
      <c r="AJ81" s="26"/>
    </row>
    <row r="82" spans="5:36" s="27" customFormat="1" ht="15" customHeight="1">
      <c r="E82" s="28"/>
      <c r="F82" s="28"/>
      <c r="G82" s="28"/>
      <c r="H82" s="28"/>
      <c r="I82" s="28"/>
      <c r="L82" s="29"/>
      <c r="M82" s="29"/>
      <c r="N82" s="29"/>
      <c r="O82" s="28"/>
      <c r="P82" s="28"/>
      <c r="S82" s="29"/>
      <c r="T82" s="29"/>
      <c r="U82" s="29"/>
      <c r="V82" s="28"/>
      <c r="W82" s="28"/>
      <c r="Z82" s="29"/>
      <c r="AA82" s="29"/>
      <c r="AB82" s="29"/>
      <c r="AC82" s="28"/>
      <c r="AD82" s="28"/>
      <c r="AG82" s="29"/>
      <c r="AH82" s="29"/>
      <c r="AI82" s="29"/>
      <c r="AJ82" s="26"/>
    </row>
    <row r="83" spans="5:36" s="27" customFormat="1" ht="15" customHeight="1">
      <c r="E83" s="28"/>
      <c r="F83" s="28"/>
      <c r="G83" s="28"/>
      <c r="H83" s="28"/>
      <c r="I83" s="28"/>
      <c r="L83" s="29"/>
      <c r="M83" s="29"/>
      <c r="N83" s="29"/>
      <c r="O83" s="28"/>
      <c r="P83" s="28"/>
      <c r="S83" s="29"/>
      <c r="T83" s="29"/>
      <c r="U83" s="29"/>
      <c r="V83" s="28"/>
      <c r="W83" s="28"/>
      <c r="Z83" s="29"/>
      <c r="AA83" s="29"/>
      <c r="AB83" s="29"/>
      <c r="AC83" s="28"/>
      <c r="AD83" s="28"/>
      <c r="AG83" s="29"/>
      <c r="AH83" s="29"/>
      <c r="AI83" s="29"/>
      <c r="AJ83" s="26"/>
    </row>
    <row r="84" spans="5:36" s="27" customFormat="1" ht="15" customHeight="1">
      <c r="E84" s="28"/>
      <c r="F84" s="28"/>
      <c r="G84" s="28"/>
      <c r="H84" s="28"/>
      <c r="I84" s="28"/>
      <c r="L84" s="29"/>
      <c r="M84" s="29"/>
      <c r="N84" s="29"/>
      <c r="O84" s="28"/>
      <c r="P84" s="28"/>
      <c r="S84" s="29"/>
      <c r="T84" s="29"/>
      <c r="U84" s="29"/>
      <c r="V84" s="28"/>
      <c r="W84" s="28"/>
      <c r="Z84" s="29"/>
      <c r="AA84" s="29"/>
      <c r="AB84" s="29"/>
      <c r="AC84" s="28"/>
      <c r="AD84" s="28"/>
      <c r="AG84" s="29"/>
      <c r="AH84" s="29"/>
      <c r="AI84" s="29"/>
      <c r="AJ84" s="26"/>
    </row>
    <row r="85" spans="5:36" s="27" customFormat="1" ht="15" customHeight="1">
      <c r="E85" s="28"/>
      <c r="F85" s="28"/>
      <c r="G85" s="28"/>
      <c r="H85" s="28"/>
      <c r="I85" s="28"/>
      <c r="L85" s="29"/>
      <c r="M85" s="29"/>
      <c r="N85" s="29"/>
      <c r="O85" s="28"/>
      <c r="P85" s="28"/>
      <c r="S85" s="29"/>
      <c r="T85" s="29"/>
      <c r="U85" s="29"/>
      <c r="V85" s="28"/>
      <c r="W85" s="28"/>
      <c r="Z85" s="29"/>
      <c r="AA85" s="29"/>
      <c r="AB85" s="29"/>
      <c r="AC85" s="28"/>
      <c r="AD85" s="28"/>
      <c r="AG85" s="29"/>
      <c r="AH85" s="29"/>
      <c r="AI85" s="29"/>
      <c r="AJ85" s="26"/>
    </row>
    <row r="86" spans="5:36" s="27" customFormat="1" ht="15" customHeight="1">
      <c r="E86" s="28"/>
      <c r="F86" s="28"/>
      <c r="G86" s="28"/>
      <c r="H86" s="28"/>
      <c r="I86" s="28"/>
      <c r="L86" s="29"/>
      <c r="M86" s="29"/>
      <c r="N86" s="29"/>
      <c r="O86" s="28"/>
      <c r="P86" s="28"/>
      <c r="S86" s="29"/>
      <c r="T86" s="29"/>
      <c r="U86" s="29"/>
      <c r="V86" s="28"/>
      <c r="W86" s="28"/>
      <c r="Z86" s="29"/>
      <c r="AA86" s="29"/>
      <c r="AB86" s="29"/>
      <c r="AC86" s="28"/>
      <c r="AD86" s="28"/>
      <c r="AG86" s="29"/>
      <c r="AH86" s="29"/>
      <c r="AI86" s="29"/>
      <c r="AJ86" s="26"/>
    </row>
    <row r="87" spans="5:36" s="27" customFormat="1" ht="15" customHeight="1">
      <c r="E87" s="28"/>
      <c r="F87" s="28"/>
      <c r="G87" s="28"/>
      <c r="H87" s="28"/>
      <c r="I87" s="28"/>
      <c r="L87" s="29"/>
      <c r="M87" s="29"/>
      <c r="N87" s="29"/>
      <c r="O87" s="28"/>
      <c r="P87" s="28"/>
      <c r="S87" s="29"/>
      <c r="T87" s="29"/>
      <c r="U87" s="29"/>
      <c r="V87" s="28"/>
      <c r="W87" s="28"/>
      <c r="Z87" s="29"/>
      <c r="AA87" s="29"/>
      <c r="AB87" s="29"/>
      <c r="AC87" s="28"/>
      <c r="AD87" s="28"/>
      <c r="AG87" s="29"/>
      <c r="AH87" s="29"/>
      <c r="AI87" s="29"/>
      <c r="AJ87" s="26"/>
    </row>
    <row r="88" spans="5:36" s="27" customFormat="1" ht="15" customHeight="1">
      <c r="E88" s="28"/>
      <c r="F88" s="28"/>
      <c r="G88" s="28"/>
      <c r="H88" s="28"/>
      <c r="I88" s="28"/>
      <c r="L88" s="29"/>
      <c r="M88" s="29"/>
      <c r="N88" s="29"/>
      <c r="O88" s="28"/>
      <c r="P88" s="28"/>
      <c r="S88" s="29"/>
      <c r="T88" s="29"/>
      <c r="U88" s="29"/>
      <c r="V88" s="28"/>
      <c r="W88" s="28"/>
      <c r="Z88" s="29"/>
      <c r="AA88" s="29"/>
      <c r="AB88" s="29"/>
      <c r="AC88" s="28"/>
      <c r="AD88" s="28"/>
      <c r="AG88" s="29"/>
      <c r="AH88" s="29"/>
      <c r="AI88" s="29"/>
      <c r="AJ88" s="26"/>
    </row>
    <row r="89" spans="5:36" s="27" customFormat="1" ht="15" customHeight="1">
      <c r="E89" s="28"/>
      <c r="F89" s="28"/>
      <c r="G89" s="28"/>
      <c r="H89" s="28"/>
      <c r="I89" s="28"/>
      <c r="L89" s="29"/>
      <c r="M89" s="29"/>
      <c r="N89" s="29"/>
      <c r="O89" s="28"/>
      <c r="P89" s="28"/>
      <c r="S89" s="29"/>
      <c r="T89" s="29"/>
      <c r="U89" s="29"/>
      <c r="V89" s="28"/>
      <c r="W89" s="28"/>
      <c r="Z89" s="29"/>
      <c r="AA89" s="29"/>
      <c r="AB89" s="29"/>
      <c r="AC89" s="28"/>
      <c r="AD89" s="28"/>
      <c r="AG89" s="29"/>
      <c r="AH89" s="29"/>
      <c r="AI89" s="29"/>
      <c r="AJ89" s="26"/>
    </row>
    <row r="90" spans="5:36" s="27" customFormat="1" ht="15" customHeight="1">
      <c r="E90" s="28"/>
      <c r="F90" s="28"/>
      <c r="G90" s="28"/>
      <c r="H90" s="28"/>
      <c r="I90" s="28"/>
      <c r="L90" s="29"/>
      <c r="M90" s="29"/>
      <c r="N90" s="29"/>
      <c r="O90" s="28"/>
      <c r="P90" s="28"/>
      <c r="S90" s="29"/>
      <c r="T90" s="29"/>
      <c r="U90" s="29"/>
      <c r="V90" s="28"/>
      <c r="W90" s="28"/>
      <c r="Z90" s="29"/>
      <c r="AA90" s="29"/>
      <c r="AB90" s="29"/>
      <c r="AC90" s="28"/>
      <c r="AD90" s="28"/>
      <c r="AG90" s="29"/>
      <c r="AH90" s="29"/>
      <c r="AI90" s="29"/>
      <c r="AJ90" s="26"/>
    </row>
    <row r="91" spans="5:36" s="27" customFormat="1" ht="15" customHeight="1">
      <c r="E91" s="28"/>
      <c r="F91" s="28"/>
      <c r="G91" s="28"/>
      <c r="H91" s="28"/>
      <c r="I91" s="28"/>
      <c r="L91" s="29"/>
      <c r="M91" s="29"/>
      <c r="N91" s="29"/>
      <c r="O91" s="28"/>
      <c r="P91" s="28"/>
      <c r="S91" s="29"/>
      <c r="T91" s="29"/>
      <c r="U91" s="29"/>
      <c r="V91" s="28"/>
      <c r="W91" s="28"/>
      <c r="Z91" s="29"/>
      <c r="AA91" s="29"/>
      <c r="AB91" s="29"/>
      <c r="AC91" s="28"/>
      <c r="AD91" s="28"/>
      <c r="AG91" s="29"/>
      <c r="AH91" s="29"/>
      <c r="AI91" s="29"/>
      <c r="AJ91" s="26"/>
    </row>
    <row r="92" spans="5:36" s="27" customFormat="1" ht="15" customHeight="1">
      <c r="E92" s="28"/>
      <c r="F92" s="28"/>
      <c r="G92" s="28"/>
      <c r="H92" s="28"/>
      <c r="I92" s="28"/>
      <c r="L92" s="29"/>
      <c r="M92" s="29"/>
      <c r="N92" s="29"/>
      <c r="O92" s="28"/>
      <c r="P92" s="28"/>
      <c r="S92" s="29"/>
      <c r="T92" s="29"/>
      <c r="U92" s="29"/>
      <c r="V92" s="28"/>
      <c r="W92" s="28"/>
      <c r="Z92" s="29"/>
      <c r="AA92" s="29"/>
      <c r="AB92" s="29"/>
      <c r="AC92" s="28"/>
      <c r="AD92" s="28"/>
      <c r="AG92" s="29"/>
      <c r="AH92" s="29"/>
      <c r="AI92" s="29"/>
      <c r="AJ92" s="26"/>
    </row>
    <row r="93" spans="5:36" s="27" customFormat="1" ht="15" customHeight="1">
      <c r="E93" s="28"/>
      <c r="F93" s="28"/>
      <c r="G93" s="28"/>
      <c r="H93" s="28"/>
      <c r="I93" s="28"/>
      <c r="L93" s="29"/>
      <c r="M93" s="29"/>
      <c r="N93" s="29"/>
      <c r="O93" s="28"/>
      <c r="P93" s="28"/>
      <c r="S93" s="29"/>
      <c r="T93" s="29"/>
      <c r="U93" s="29"/>
      <c r="V93" s="28"/>
      <c r="W93" s="28"/>
      <c r="Z93" s="29"/>
      <c r="AA93" s="29"/>
      <c r="AB93" s="29"/>
      <c r="AC93" s="28"/>
      <c r="AD93" s="28"/>
      <c r="AG93" s="29"/>
      <c r="AH93" s="29"/>
      <c r="AI93" s="29"/>
      <c r="AJ93" s="26"/>
    </row>
    <row r="94" spans="5:36" s="27" customFormat="1" ht="15" customHeight="1">
      <c r="E94" s="28"/>
      <c r="F94" s="28"/>
      <c r="G94" s="28"/>
      <c r="H94" s="28"/>
      <c r="I94" s="28"/>
      <c r="L94" s="29"/>
      <c r="M94" s="29"/>
      <c r="N94" s="29"/>
      <c r="O94" s="28"/>
      <c r="P94" s="28"/>
      <c r="S94" s="29"/>
      <c r="T94" s="29"/>
      <c r="U94" s="29"/>
      <c r="V94" s="28"/>
      <c r="W94" s="28"/>
      <c r="Z94" s="29"/>
      <c r="AA94" s="29"/>
      <c r="AB94" s="29"/>
      <c r="AC94" s="28"/>
      <c r="AD94" s="28"/>
      <c r="AG94" s="29"/>
      <c r="AH94" s="29"/>
      <c r="AI94" s="29"/>
      <c r="AJ94" s="26"/>
    </row>
    <row r="95" spans="5:36" s="27" customFormat="1" ht="15" customHeight="1">
      <c r="E95" s="28"/>
      <c r="F95" s="28"/>
      <c r="G95" s="28"/>
      <c r="H95" s="28"/>
      <c r="I95" s="28"/>
      <c r="L95" s="29"/>
      <c r="M95" s="29"/>
      <c r="N95" s="29"/>
      <c r="O95" s="28"/>
      <c r="P95" s="28"/>
      <c r="S95" s="29"/>
      <c r="T95" s="29"/>
      <c r="U95" s="29"/>
      <c r="V95" s="28"/>
      <c r="W95" s="28"/>
      <c r="Z95" s="29"/>
      <c r="AA95" s="29"/>
      <c r="AB95" s="29"/>
      <c r="AC95" s="28"/>
      <c r="AD95" s="28"/>
      <c r="AG95" s="29"/>
      <c r="AH95" s="29"/>
      <c r="AI95" s="29"/>
      <c r="AJ95" s="26"/>
    </row>
    <row r="96" spans="5:36" s="27" customFormat="1" ht="15" customHeight="1">
      <c r="E96" s="28"/>
      <c r="F96" s="28"/>
      <c r="G96" s="28"/>
      <c r="H96" s="28"/>
      <c r="I96" s="28"/>
      <c r="L96" s="29"/>
      <c r="M96" s="29"/>
      <c r="N96" s="29"/>
      <c r="O96" s="28"/>
      <c r="P96" s="28"/>
      <c r="S96" s="29"/>
      <c r="T96" s="29"/>
      <c r="U96" s="29"/>
      <c r="V96" s="28"/>
      <c r="W96" s="28"/>
      <c r="Z96" s="29"/>
      <c r="AA96" s="29"/>
      <c r="AB96" s="29"/>
      <c r="AC96" s="28"/>
      <c r="AD96" s="28"/>
      <c r="AG96" s="29"/>
      <c r="AH96" s="29"/>
      <c r="AI96" s="29"/>
      <c r="AJ96" s="26"/>
    </row>
    <row r="97" spans="5:36" s="27" customFormat="1" ht="15" customHeight="1">
      <c r="E97" s="28"/>
      <c r="F97" s="28"/>
      <c r="G97" s="28"/>
      <c r="H97" s="28"/>
      <c r="I97" s="28"/>
      <c r="L97" s="29"/>
      <c r="M97" s="29"/>
      <c r="N97" s="29"/>
      <c r="O97" s="28"/>
      <c r="P97" s="28"/>
      <c r="S97" s="29"/>
      <c r="T97" s="29"/>
      <c r="U97" s="29"/>
      <c r="V97" s="28"/>
      <c r="W97" s="28"/>
      <c r="Z97" s="29"/>
      <c r="AA97" s="29"/>
      <c r="AB97" s="29"/>
      <c r="AC97" s="28"/>
      <c r="AD97" s="28"/>
      <c r="AG97" s="29"/>
      <c r="AH97" s="29"/>
      <c r="AI97" s="29"/>
      <c r="AJ97" s="26"/>
    </row>
    <row r="98" spans="5:36" s="27" customFormat="1" ht="15" customHeight="1">
      <c r="E98" s="28"/>
      <c r="F98" s="28"/>
      <c r="G98" s="28"/>
      <c r="H98" s="28"/>
      <c r="I98" s="28"/>
      <c r="L98" s="29"/>
      <c r="M98" s="29"/>
      <c r="N98" s="29"/>
      <c r="O98" s="28"/>
      <c r="P98" s="28"/>
      <c r="S98" s="29"/>
      <c r="T98" s="29"/>
      <c r="U98" s="29"/>
      <c r="V98" s="28"/>
      <c r="W98" s="28"/>
      <c r="Z98" s="29"/>
      <c r="AA98" s="29"/>
      <c r="AB98" s="29"/>
      <c r="AC98" s="28"/>
      <c r="AD98" s="28"/>
      <c r="AG98" s="29"/>
      <c r="AH98" s="29"/>
      <c r="AI98" s="29"/>
      <c r="AJ98" s="26"/>
    </row>
    <row r="99" spans="5:36" s="27" customFormat="1" ht="15" customHeight="1">
      <c r="E99" s="28"/>
      <c r="F99" s="28"/>
      <c r="G99" s="28"/>
      <c r="H99" s="28"/>
      <c r="I99" s="28"/>
      <c r="L99" s="29"/>
      <c r="M99" s="29"/>
      <c r="N99" s="29"/>
      <c r="O99" s="28"/>
      <c r="P99" s="28"/>
      <c r="S99" s="29"/>
      <c r="T99" s="29"/>
      <c r="U99" s="29"/>
      <c r="V99" s="28"/>
      <c r="W99" s="28"/>
      <c r="Z99" s="29"/>
      <c r="AA99" s="29"/>
      <c r="AB99" s="29"/>
      <c r="AC99" s="28"/>
      <c r="AD99" s="28"/>
      <c r="AG99" s="29"/>
      <c r="AH99" s="29"/>
      <c r="AI99" s="29"/>
      <c r="AJ99" s="26"/>
    </row>
    <row r="100" spans="5:36" s="27" customFormat="1" ht="15" customHeight="1">
      <c r="E100" s="28"/>
      <c r="F100" s="28"/>
      <c r="G100" s="28"/>
      <c r="H100" s="28"/>
      <c r="I100" s="28"/>
      <c r="L100" s="29"/>
      <c r="M100" s="29"/>
      <c r="N100" s="29"/>
      <c r="O100" s="28"/>
      <c r="P100" s="28"/>
      <c r="S100" s="29"/>
      <c r="T100" s="29"/>
      <c r="U100" s="29"/>
      <c r="V100" s="28"/>
      <c r="W100" s="28"/>
      <c r="Z100" s="29"/>
      <c r="AA100" s="29"/>
      <c r="AB100" s="29"/>
      <c r="AC100" s="28"/>
      <c r="AD100" s="28"/>
      <c r="AG100" s="29"/>
      <c r="AH100" s="29"/>
      <c r="AI100" s="29"/>
      <c r="AJ100" s="26"/>
    </row>
    <row r="101" spans="5:36" s="27" customFormat="1" ht="15" customHeight="1">
      <c r="E101" s="28"/>
      <c r="F101" s="28"/>
      <c r="G101" s="28"/>
      <c r="H101" s="28"/>
      <c r="I101" s="28"/>
      <c r="L101" s="29"/>
      <c r="M101" s="29"/>
      <c r="N101" s="29"/>
      <c r="O101" s="28"/>
      <c r="P101" s="28"/>
      <c r="S101" s="29"/>
      <c r="T101" s="29"/>
      <c r="U101" s="29"/>
      <c r="V101" s="28"/>
      <c r="W101" s="28"/>
      <c r="Z101" s="29"/>
      <c r="AA101" s="29"/>
      <c r="AB101" s="29"/>
      <c r="AC101" s="28"/>
      <c r="AD101" s="28"/>
      <c r="AG101" s="29"/>
      <c r="AH101" s="29"/>
      <c r="AI101" s="29"/>
      <c r="AJ101" s="26"/>
    </row>
    <row r="102" spans="5:36" s="27" customFormat="1" ht="15" customHeight="1">
      <c r="E102" s="28"/>
      <c r="F102" s="28"/>
      <c r="G102" s="28"/>
      <c r="H102" s="28"/>
      <c r="I102" s="28"/>
      <c r="L102" s="29"/>
      <c r="M102" s="29"/>
      <c r="N102" s="29"/>
      <c r="O102" s="28"/>
      <c r="P102" s="28"/>
      <c r="S102" s="29"/>
      <c r="T102" s="29"/>
      <c r="U102" s="29"/>
      <c r="V102" s="28"/>
      <c r="W102" s="28"/>
      <c r="Z102" s="29"/>
      <c r="AA102" s="29"/>
      <c r="AB102" s="29"/>
      <c r="AC102" s="28"/>
      <c r="AD102" s="28"/>
      <c r="AG102" s="29"/>
      <c r="AH102" s="29"/>
      <c r="AI102" s="29"/>
      <c r="AJ102" s="26"/>
    </row>
    <row r="103" spans="5:36" s="27" customFormat="1" ht="15" customHeight="1">
      <c r="E103" s="28"/>
      <c r="F103" s="28"/>
      <c r="G103" s="28"/>
      <c r="H103" s="28"/>
      <c r="I103" s="28"/>
      <c r="L103" s="29"/>
      <c r="M103" s="29"/>
      <c r="N103" s="29"/>
      <c r="O103" s="28"/>
      <c r="P103" s="28"/>
      <c r="S103" s="29"/>
      <c r="T103" s="29"/>
      <c r="U103" s="29"/>
      <c r="V103" s="28"/>
      <c r="W103" s="28"/>
      <c r="Z103" s="29"/>
      <c r="AA103" s="29"/>
      <c r="AB103" s="29"/>
      <c r="AC103" s="28"/>
      <c r="AD103" s="28"/>
      <c r="AG103" s="29"/>
      <c r="AH103" s="29"/>
      <c r="AI103" s="29"/>
      <c r="AJ103" s="26"/>
    </row>
    <row r="104" spans="5:36" s="27" customFormat="1" ht="15" customHeight="1">
      <c r="E104" s="28"/>
      <c r="F104" s="28"/>
      <c r="G104" s="28"/>
      <c r="H104" s="28"/>
      <c r="I104" s="28"/>
      <c r="L104" s="29"/>
      <c r="M104" s="29"/>
      <c r="N104" s="29"/>
      <c r="O104" s="28"/>
      <c r="P104" s="28"/>
      <c r="S104" s="29"/>
      <c r="T104" s="29"/>
      <c r="U104" s="29"/>
      <c r="V104" s="28"/>
      <c r="W104" s="28"/>
      <c r="Z104" s="29"/>
      <c r="AA104" s="29"/>
      <c r="AB104" s="29"/>
      <c r="AC104" s="28"/>
      <c r="AD104" s="28"/>
      <c r="AG104" s="29"/>
      <c r="AH104" s="29"/>
      <c r="AI104" s="29"/>
      <c r="AJ104" s="26"/>
    </row>
    <row r="105" spans="5:36" s="27" customFormat="1" ht="15" customHeight="1">
      <c r="E105" s="28"/>
      <c r="F105" s="28"/>
      <c r="G105" s="28"/>
      <c r="H105" s="28"/>
      <c r="I105" s="28"/>
      <c r="L105" s="29"/>
      <c r="M105" s="29"/>
      <c r="N105" s="29"/>
      <c r="O105" s="28"/>
      <c r="P105" s="28"/>
      <c r="S105" s="29"/>
      <c r="T105" s="29"/>
      <c r="U105" s="29"/>
      <c r="V105" s="28"/>
      <c r="W105" s="28"/>
      <c r="Z105" s="29"/>
      <c r="AA105" s="29"/>
      <c r="AB105" s="29"/>
      <c r="AC105" s="28"/>
      <c r="AD105" s="28"/>
      <c r="AG105" s="29"/>
      <c r="AH105" s="29"/>
      <c r="AI105" s="29"/>
      <c r="AJ105" s="26"/>
    </row>
    <row r="106" spans="5:36" s="27" customFormat="1" ht="15" customHeight="1">
      <c r="E106" s="28"/>
      <c r="F106" s="28"/>
      <c r="G106" s="28"/>
      <c r="H106" s="28"/>
      <c r="I106" s="28"/>
      <c r="L106" s="29"/>
      <c r="M106" s="29"/>
      <c r="N106" s="29"/>
      <c r="O106" s="28"/>
      <c r="P106" s="28"/>
      <c r="S106" s="29"/>
      <c r="T106" s="29"/>
      <c r="U106" s="29"/>
      <c r="V106" s="28"/>
      <c r="W106" s="28"/>
      <c r="Z106" s="29"/>
      <c r="AA106" s="29"/>
      <c r="AB106" s="29"/>
      <c r="AC106" s="28"/>
      <c r="AD106" s="28"/>
      <c r="AG106" s="29"/>
      <c r="AH106" s="29"/>
      <c r="AI106" s="29"/>
      <c r="AJ106" s="26"/>
    </row>
    <row r="107" spans="5:36" s="27" customFormat="1" ht="15" customHeight="1">
      <c r="E107" s="28"/>
      <c r="F107" s="28"/>
      <c r="G107" s="28"/>
      <c r="H107" s="28"/>
      <c r="I107" s="28"/>
      <c r="L107" s="29"/>
      <c r="M107" s="29"/>
      <c r="N107" s="29"/>
      <c r="O107" s="28"/>
      <c r="P107" s="28"/>
      <c r="S107" s="29"/>
      <c r="T107" s="29"/>
      <c r="U107" s="29"/>
      <c r="V107" s="28"/>
      <c r="W107" s="28"/>
      <c r="Z107" s="29"/>
      <c r="AA107" s="29"/>
      <c r="AB107" s="29"/>
      <c r="AC107" s="28"/>
      <c r="AD107" s="28"/>
      <c r="AG107" s="29"/>
      <c r="AH107" s="29"/>
      <c r="AI107" s="29"/>
      <c r="AJ107" s="26"/>
    </row>
    <row r="108" spans="5:36" s="27" customFormat="1" ht="15" customHeight="1">
      <c r="E108" s="28"/>
      <c r="F108" s="28"/>
      <c r="G108" s="28"/>
      <c r="H108" s="28"/>
      <c r="I108" s="28"/>
      <c r="L108" s="29"/>
      <c r="M108" s="29"/>
      <c r="N108" s="29"/>
      <c r="O108" s="28"/>
      <c r="P108" s="28"/>
      <c r="S108" s="29"/>
      <c r="T108" s="29"/>
      <c r="U108" s="29"/>
      <c r="V108" s="28"/>
      <c r="W108" s="28"/>
      <c r="Z108" s="29"/>
      <c r="AA108" s="29"/>
      <c r="AB108" s="29"/>
      <c r="AC108" s="28"/>
      <c r="AD108" s="28"/>
      <c r="AG108" s="29"/>
      <c r="AH108" s="29"/>
      <c r="AI108" s="29"/>
      <c r="AJ108" s="26"/>
    </row>
    <row r="109" spans="5:36" s="27" customFormat="1" ht="15" customHeight="1">
      <c r="E109" s="28"/>
      <c r="F109" s="28"/>
      <c r="G109" s="28"/>
      <c r="H109" s="28"/>
      <c r="I109" s="28"/>
      <c r="L109" s="29"/>
      <c r="M109" s="29"/>
      <c r="N109" s="29"/>
      <c r="O109" s="28"/>
      <c r="P109" s="28"/>
      <c r="S109" s="29"/>
      <c r="T109" s="29"/>
      <c r="U109" s="29"/>
      <c r="V109" s="28"/>
      <c r="W109" s="28"/>
      <c r="Z109" s="29"/>
      <c r="AA109" s="29"/>
      <c r="AB109" s="29"/>
      <c r="AC109" s="28"/>
      <c r="AD109" s="28"/>
      <c r="AG109" s="29"/>
      <c r="AH109" s="29"/>
      <c r="AI109" s="29"/>
      <c r="AJ109" s="26"/>
    </row>
    <row r="110" spans="5:36" s="27" customFormat="1" ht="15" customHeight="1">
      <c r="E110" s="28"/>
      <c r="F110" s="28"/>
      <c r="G110" s="28"/>
      <c r="H110" s="28"/>
      <c r="I110" s="28"/>
      <c r="L110" s="29"/>
      <c r="M110" s="29"/>
      <c r="N110" s="29"/>
      <c r="O110" s="28"/>
      <c r="P110" s="28"/>
      <c r="S110" s="29"/>
      <c r="T110" s="29"/>
      <c r="U110" s="29"/>
      <c r="V110" s="28"/>
      <c r="W110" s="28"/>
      <c r="Z110" s="29"/>
      <c r="AA110" s="29"/>
      <c r="AB110" s="29"/>
      <c r="AC110" s="28"/>
      <c r="AD110" s="28"/>
      <c r="AG110" s="29"/>
      <c r="AH110" s="29"/>
      <c r="AI110" s="29"/>
      <c r="AJ110" s="26"/>
    </row>
    <row r="111" spans="5:36" s="27" customFormat="1" ht="15" customHeight="1">
      <c r="E111" s="28"/>
      <c r="F111" s="28"/>
      <c r="G111" s="28"/>
      <c r="H111" s="28"/>
      <c r="I111" s="28"/>
      <c r="L111" s="29"/>
      <c r="M111" s="29"/>
      <c r="N111" s="29"/>
      <c r="O111" s="28"/>
      <c r="P111" s="28"/>
      <c r="S111" s="29"/>
      <c r="T111" s="29"/>
      <c r="U111" s="29"/>
      <c r="V111" s="28"/>
      <c r="W111" s="28"/>
      <c r="Z111" s="29"/>
      <c r="AA111" s="29"/>
      <c r="AB111" s="29"/>
      <c r="AC111" s="28"/>
      <c r="AD111" s="28"/>
      <c r="AG111" s="29"/>
      <c r="AH111" s="29"/>
      <c r="AI111" s="29"/>
      <c r="AJ111" s="26"/>
    </row>
    <row r="112" spans="5:36" s="27" customFormat="1" ht="15" customHeight="1">
      <c r="E112" s="28"/>
      <c r="F112" s="28"/>
      <c r="G112" s="28"/>
      <c r="H112" s="28"/>
      <c r="I112" s="28"/>
      <c r="L112" s="29"/>
      <c r="M112" s="29"/>
      <c r="N112" s="29"/>
      <c r="O112" s="28"/>
      <c r="P112" s="28"/>
      <c r="S112" s="29"/>
      <c r="T112" s="29"/>
      <c r="U112" s="29"/>
      <c r="V112" s="28"/>
      <c r="W112" s="28"/>
      <c r="Z112" s="29"/>
      <c r="AA112" s="29"/>
      <c r="AB112" s="29"/>
      <c r="AC112" s="28"/>
      <c r="AD112" s="28"/>
      <c r="AG112" s="29"/>
      <c r="AH112" s="29"/>
      <c r="AI112" s="29"/>
      <c r="AJ112" s="26"/>
    </row>
    <row r="113" spans="5:36" s="27" customFormat="1" ht="15" customHeight="1">
      <c r="E113" s="28"/>
      <c r="F113" s="28"/>
      <c r="G113" s="28"/>
      <c r="H113" s="28"/>
      <c r="I113" s="28"/>
      <c r="L113" s="29"/>
      <c r="M113" s="29"/>
      <c r="N113" s="29"/>
      <c r="O113" s="28"/>
      <c r="P113" s="28"/>
      <c r="S113" s="29"/>
      <c r="T113" s="29"/>
      <c r="U113" s="29"/>
      <c r="V113" s="28"/>
      <c r="W113" s="28"/>
      <c r="Z113" s="29"/>
      <c r="AA113" s="29"/>
      <c r="AB113" s="29"/>
      <c r="AC113" s="28"/>
      <c r="AD113" s="28"/>
      <c r="AG113" s="29"/>
      <c r="AH113" s="29"/>
      <c r="AI113" s="29"/>
      <c r="AJ113" s="26"/>
    </row>
    <row r="114" spans="5:36" s="27" customFormat="1" ht="15" customHeight="1">
      <c r="E114" s="28"/>
      <c r="F114" s="28"/>
      <c r="G114" s="28"/>
      <c r="H114" s="28"/>
      <c r="I114" s="28"/>
      <c r="L114" s="29"/>
      <c r="M114" s="29"/>
      <c r="N114" s="29"/>
      <c r="O114" s="28"/>
      <c r="P114" s="28"/>
      <c r="S114" s="29"/>
      <c r="T114" s="29"/>
      <c r="U114" s="29"/>
      <c r="V114" s="28"/>
      <c r="W114" s="28"/>
      <c r="Z114" s="29"/>
      <c r="AA114" s="29"/>
      <c r="AB114" s="29"/>
      <c r="AC114" s="28"/>
      <c r="AD114" s="28"/>
      <c r="AG114" s="29"/>
      <c r="AH114" s="29"/>
      <c r="AI114" s="29"/>
      <c r="AJ114" s="26"/>
    </row>
    <row r="115" spans="5:36" s="27" customFormat="1" ht="15" customHeight="1">
      <c r="E115" s="28"/>
      <c r="F115" s="28"/>
      <c r="G115" s="28"/>
      <c r="H115" s="28"/>
      <c r="I115" s="28"/>
      <c r="L115" s="29"/>
      <c r="M115" s="29"/>
      <c r="N115" s="29"/>
      <c r="O115" s="28"/>
      <c r="P115" s="28"/>
      <c r="S115" s="29"/>
      <c r="T115" s="29"/>
      <c r="U115" s="29"/>
      <c r="V115" s="28"/>
      <c r="W115" s="28"/>
      <c r="Z115" s="29"/>
      <c r="AA115" s="29"/>
      <c r="AB115" s="29"/>
      <c r="AC115" s="28"/>
      <c r="AD115" s="28"/>
      <c r="AG115" s="29"/>
      <c r="AH115" s="29"/>
      <c r="AI115" s="29"/>
      <c r="AJ115" s="26"/>
    </row>
    <row r="116" spans="5:36" s="27" customFormat="1" ht="15" customHeight="1">
      <c r="E116" s="28"/>
      <c r="F116" s="28"/>
      <c r="G116" s="28"/>
      <c r="H116" s="28"/>
      <c r="I116" s="28"/>
      <c r="L116" s="29"/>
      <c r="M116" s="29"/>
      <c r="N116" s="29"/>
      <c r="O116" s="28"/>
      <c r="P116" s="28"/>
      <c r="S116" s="29"/>
      <c r="T116" s="29"/>
      <c r="U116" s="29"/>
      <c r="V116" s="28"/>
      <c r="W116" s="28"/>
      <c r="Z116" s="29"/>
      <c r="AA116" s="29"/>
      <c r="AB116" s="29"/>
      <c r="AC116" s="28"/>
      <c r="AD116" s="28"/>
      <c r="AG116" s="29"/>
      <c r="AH116" s="29"/>
      <c r="AI116" s="29"/>
      <c r="AJ116" s="26"/>
    </row>
    <row r="117" spans="5:36" s="27" customFormat="1" ht="15" customHeight="1">
      <c r="E117" s="28"/>
      <c r="F117" s="28"/>
      <c r="G117" s="28"/>
      <c r="H117" s="28"/>
      <c r="I117" s="28"/>
      <c r="L117" s="29"/>
      <c r="M117" s="29"/>
      <c r="N117" s="29"/>
      <c r="O117" s="28"/>
      <c r="P117" s="28"/>
      <c r="S117" s="29"/>
      <c r="T117" s="29"/>
      <c r="U117" s="29"/>
      <c r="V117" s="28"/>
      <c r="W117" s="28"/>
      <c r="Z117" s="29"/>
      <c r="AA117" s="29"/>
      <c r="AB117" s="29"/>
      <c r="AC117" s="28"/>
      <c r="AD117" s="28"/>
      <c r="AG117" s="29"/>
      <c r="AH117" s="29"/>
      <c r="AI117" s="29"/>
      <c r="AJ117" s="26"/>
    </row>
    <row r="118" spans="5:36" s="27" customFormat="1" ht="15" customHeight="1">
      <c r="E118" s="28"/>
      <c r="F118" s="28"/>
      <c r="G118" s="28"/>
      <c r="H118" s="28"/>
      <c r="I118" s="28"/>
      <c r="L118" s="29"/>
      <c r="M118" s="29"/>
      <c r="N118" s="29"/>
      <c r="O118" s="28"/>
      <c r="P118" s="28"/>
      <c r="S118" s="29"/>
      <c r="T118" s="29"/>
      <c r="U118" s="29"/>
      <c r="V118" s="28"/>
      <c r="W118" s="28"/>
      <c r="Z118" s="29"/>
      <c r="AA118" s="29"/>
      <c r="AB118" s="29"/>
      <c r="AC118" s="28"/>
      <c r="AD118" s="28"/>
      <c r="AG118" s="29"/>
      <c r="AH118" s="29"/>
      <c r="AI118" s="29"/>
      <c r="AJ118" s="26"/>
    </row>
    <row r="119" spans="5:36" s="27" customFormat="1" ht="15" customHeight="1">
      <c r="E119" s="28"/>
      <c r="F119" s="28"/>
      <c r="G119" s="28"/>
      <c r="H119" s="28"/>
      <c r="I119" s="28"/>
      <c r="L119" s="29"/>
      <c r="M119" s="29"/>
      <c r="N119" s="29"/>
      <c r="O119" s="28"/>
      <c r="P119" s="28"/>
      <c r="S119" s="29"/>
      <c r="T119" s="29"/>
      <c r="U119" s="29"/>
      <c r="V119" s="28"/>
      <c r="W119" s="28"/>
      <c r="Z119" s="29"/>
      <c r="AA119" s="29"/>
      <c r="AB119" s="29"/>
      <c r="AC119" s="28"/>
      <c r="AD119" s="28"/>
      <c r="AG119" s="29"/>
      <c r="AH119" s="29"/>
      <c r="AI119" s="29"/>
      <c r="AJ119" s="26"/>
    </row>
    <row r="120" spans="5:36" s="27" customFormat="1" ht="15" customHeight="1">
      <c r="E120" s="28"/>
      <c r="F120" s="28"/>
      <c r="G120" s="28"/>
      <c r="H120" s="28"/>
      <c r="I120" s="28"/>
      <c r="L120" s="29"/>
      <c r="M120" s="29"/>
      <c r="N120" s="29"/>
      <c r="O120" s="28"/>
      <c r="P120" s="28"/>
      <c r="S120" s="29"/>
      <c r="T120" s="29"/>
      <c r="U120" s="29"/>
      <c r="V120" s="28"/>
      <c r="W120" s="28"/>
      <c r="Z120" s="29"/>
      <c r="AA120" s="29"/>
      <c r="AB120" s="29"/>
      <c r="AC120" s="28"/>
      <c r="AD120" s="28"/>
      <c r="AG120" s="29"/>
      <c r="AH120" s="29"/>
      <c r="AI120" s="29"/>
      <c r="AJ120" s="26"/>
    </row>
    <row r="121" spans="5:36" s="27" customFormat="1" ht="15" customHeight="1">
      <c r="E121" s="28"/>
      <c r="F121" s="28"/>
      <c r="G121" s="28"/>
      <c r="H121" s="28"/>
      <c r="I121" s="28"/>
      <c r="L121" s="29"/>
      <c r="M121" s="29"/>
      <c r="N121" s="29"/>
      <c r="O121" s="28"/>
      <c r="P121" s="28"/>
      <c r="S121" s="29"/>
      <c r="T121" s="29"/>
      <c r="U121" s="29"/>
      <c r="V121" s="28"/>
      <c r="W121" s="28"/>
      <c r="Z121" s="29"/>
      <c r="AA121" s="29"/>
      <c r="AB121" s="29"/>
      <c r="AC121" s="28"/>
      <c r="AD121" s="28"/>
      <c r="AG121" s="29"/>
      <c r="AH121" s="29"/>
      <c r="AI121" s="29"/>
      <c r="AJ121" s="26"/>
    </row>
    <row r="122" spans="5:36" s="27" customFormat="1" ht="15" customHeight="1">
      <c r="E122" s="28"/>
      <c r="F122" s="28"/>
      <c r="G122" s="28"/>
      <c r="H122" s="28"/>
      <c r="I122" s="28"/>
      <c r="L122" s="29"/>
      <c r="M122" s="29"/>
      <c r="N122" s="29"/>
      <c r="O122" s="28"/>
      <c r="P122" s="28"/>
      <c r="S122" s="29"/>
      <c r="T122" s="29"/>
      <c r="U122" s="29"/>
      <c r="V122" s="28"/>
      <c r="W122" s="28"/>
      <c r="Z122" s="29"/>
      <c r="AA122" s="29"/>
      <c r="AB122" s="29"/>
      <c r="AC122" s="28"/>
      <c r="AD122" s="28"/>
      <c r="AG122" s="29"/>
      <c r="AH122" s="29"/>
      <c r="AI122" s="29"/>
      <c r="AJ122" s="26"/>
    </row>
    <row r="123" spans="5:36" s="27" customFormat="1" ht="15" customHeight="1">
      <c r="E123" s="28"/>
      <c r="F123" s="28"/>
      <c r="G123" s="28"/>
      <c r="H123" s="28"/>
      <c r="I123" s="28"/>
      <c r="L123" s="29"/>
      <c r="M123" s="29"/>
      <c r="N123" s="29"/>
      <c r="O123" s="28"/>
      <c r="P123" s="28"/>
      <c r="S123" s="29"/>
      <c r="T123" s="29"/>
      <c r="U123" s="29"/>
      <c r="V123" s="28"/>
      <c r="W123" s="28"/>
      <c r="Z123" s="29"/>
      <c r="AA123" s="29"/>
      <c r="AB123" s="29"/>
      <c r="AC123" s="28"/>
      <c r="AD123" s="28"/>
      <c r="AG123" s="29"/>
      <c r="AH123" s="29"/>
      <c r="AI123" s="29"/>
      <c r="AJ123" s="26"/>
    </row>
    <row r="124" spans="5:36" s="27" customFormat="1" ht="15" customHeight="1">
      <c r="E124" s="28"/>
      <c r="F124" s="28"/>
      <c r="G124" s="28"/>
      <c r="H124" s="28"/>
      <c r="I124" s="28"/>
      <c r="L124" s="29"/>
      <c r="M124" s="29"/>
      <c r="N124" s="29"/>
      <c r="O124" s="28"/>
      <c r="P124" s="28"/>
      <c r="S124" s="29"/>
      <c r="T124" s="29"/>
      <c r="U124" s="29"/>
      <c r="V124" s="28"/>
      <c r="W124" s="28"/>
      <c r="Z124" s="29"/>
      <c r="AA124" s="29"/>
      <c r="AB124" s="29"/>
      <c r="AC124" s="28"/>
      <c r="AD124" s="28"/>
      <c r="AG124" s="29"/>
      <c r="AH124" s="29"/>
      <c r="AI124" s="29"/>
      <c r="AJ124" s="26"/>
    </row>
    <row r="125" spans="5:36" s="27" customFormat="1" ht="15" customHeight="1">
      <c r="E125" s="28"/>
      <c r="F125" s="28"/>
      <c r="G125" s="28"/>
      <c r="H125" s="28"/>
      <c r="I125" s="28"/>
      <c r="L125" s="29"/>
      <c r="M125" s="29"/>
      <c r="N125" s="29"/>
      <c r="O125" s="28"/>
      <c r="P125" s="28"/>
      <c r="S125" s="29"/>
      <c r="T125" s="29"/>
      <c r="U125" s="29"/>
      <c r="V125" s="28"/>
      <c r="W125" s="28"/>
      <c r="Z125" s="29"/>
      <c r="AA125" s="29"/>
      <c r="AB125" s="29"/>
      <c r="AC125" s="28"/>
      <c r="AD125" s="28"/>
      <c r="AG125" s="29"/>
      <c r="AH125" s="29"/>
      <c r="AI125" s="29"/>
      <c r="AJ125" s="26"/>
    </row>
    <row r="126" spans="5:36" s="27" customFormat="1" ht="15" customHeight="1">
      <c r="E126" s="28"/>
      <c r="F126" s="28"/>
      <c r="G126" s="28"/>
      <c r="H126" s="28"/>
      <c r="I126" s="28"/>
      <c r="L126" s="29"/>
      <c r="M126" s="29"/>
      <c r="N126" s="29"/>
      <c r="O126" s="28"/>
      <c r="P126" s="28"/>
      <c r="S126" s="29"/>
      <c r="T126" s="29"/>
      <c r="U126" s="29"/>
      <c r="V126" s="28"/>
      <c r="W126" s="28"/>
      <c r="Z126" s="29"/>
      <c r="AA126" s="29"/>
      <c r="AB126" s="29"/>
      <c r="AC126" s="28"/>
      <c r="AD126" s="28"/>
      <c r="AG126" s="29"/>
      <c r="AH126" s="29"/>
      <c r="AI126" s="29"/>
      <c r="AJ126" s="26"/>
    </row>
    <row r="127" spans="5:36" s="27" customFormat="1" ht="15" customHeight="1">
      <c r="E127" s="28"/>
      <c r="F127" s="28"/>
      <c r="G127" s="28"/>
      <c r="H127" s="28"/>
      <c r="I127" s="28"/>
      <c r="L127" s="29"/>
      <c r="M127" s="29"/>
      <c r="N127" s="29"/>
      <c r="O127" s="28"/>
      <c r="P127" s="28"/>
      <c r="S127" s="29"/>
      <c r="T127" s="29"/>
      <c r="U127" s="29"/>
      <c r="V127" s="28"/>
      <c r="W127" s="28"/>
      <c r="Z127" s="29"/>
      <c r="AA127" s="29"/>
      <c r="AB127" s="29"/>
      <c r="AC127" s="28"/>
      <c r="AD127" s="28"/>
      <c r="AG127" s="29"/>
      <c r="AH127" s="29"/>
      <c r="AI127" s="29"/>
      <c r="AJ127" s="26"/>
    </row>
    <row r="128" spans="5:36" s="27" customFormat="1" ht="15" customHeight="1">
      <c r="E128" s="28"/>
      <c r="F128" s="28"/>
      <c r="G128" s="28"/>
      <c r="H128" s="28"/>
      <c r="I128" s="28"/>
      <c r="L128" s="29"/>
      <c r="M128" s="29"/>
      <c r="N128" s="29"/>
      <c r="O128" s="28"/>
      <c r="P128" s="28"/>
      <c r="S128" s="29"/>
      <c r="T128" s="29"/>
      <c r="U128" s="29"/>
      <c r="V128" s="28"/>
      <c r="W128" s="28"/>
      <c r="Z128" s="29"/>
      <c r="AA128" s="29"/>
      <c r="AB128" s="29"/>
      <c r="AC128" s="28"/>
      <c r="AD128" s="28"/>
      <c r="AG128" s="29"/>
      <c r="AH128" s="29"/>
      <c r="AI128" s="29"/>
      <c r="AJ128" s="26"/>
    </row>
    <row r="129" spans="5:36" s="27" customFormat="1" ht="15" customHeight="1">
      <c r="E129" s="28"/>
      <c r="F129" s="28"/>
      <c r="G129" s="28"/>
      <c r="H129" s="28"/>
      <c r="I129" s="28"/>
      <c r="L129" s="29"/>
      <c r="M129" s="29"/>
      <c r="N129" s="29"/>
      <c r="O129" s="28"/>
      <c r="P129" s="28"/>
      <c r="S129" s="29"/>
      <c r="T129" s="29"/>
      <c r="U129" s="29"/>
      <c r="V129" s="28"/>
      <c r="W129" s="28"/>
      <c r="Z129" s="29"/>
      <c r="AA129" s="29"/>
      <c r="AB129" s="29"/>
      <c r="AC129" s="28"/>
      <c r="AD129" s="28"/>
      <c r="AG129" s="29"/>
      <c r="AH129" s="29"/>
      <c r="AI129" s="29"/>
      <c r="AJ129" s="26"/>
    </row>
    <row r="130" spans="5:36" s="27" customFormat="1" ht="15" customHeight="1">
      <c r="E130" s="28"/>
      <c r="F130" s="28"/>
      <c r="G130" s="28"/>
      <c r="H130" s="28"/>
      <c r="I130" s="28"/>
      <c r="L130" s="29"/>
      <c r="M130" s="29"/>
      <c r="N130" s="29"/>
      <c r="O130" s="28"/>
      <c r="P130" s="28"/>
      <c r="S130" s="29"/>
      <c r="T130" s="29"/>
      <c r="U130" s="29"/>
      <c r="V130" s="28"/>
      <c r="W130" s="28"/>
      <c r="Z130" s="29"/>
      <c r="AA130" s="29"/>
      <c r="AB130" s="29"/>
      <c r="AC130" s="28"/>
      <c r="AD130" s="28"/>
      <c r="AG130" s="29"/>
      <c r="AH130" s="29"/>
      <c r="AI130" s="29"/>
      <c r="AJ130" s="26"/>
    </row>
    <row r="131" spans="5:36" s="27" customFormat="1" ht="15" customHeight="1">
      <c r="E131" s="28"/>
      <c r="F131" s="28"/>
      <c r="G131" s="28"/>
      <c r="H131" s="28"/>
      <c r="I131" s="28"/>
      <c r="L131" s="29"/>
      <c r="M131" s="29"/>
      <c r="N131" s="29"/>
      <c r="O131" s="28"/>
      <c r="P131" s="28"/>
      <c r="S131" s="29"/>
      <c r="T131" s="29"/>
      <c r="U131" s="29"/>
      <c r="V131" s="28"/>
      <c r="W131" s="28"/>
      <c r="Z131" s="29"/>
      <c r="AA131" s="29"/>
      <c r="AB131" s="29"/>
      <c r="AC131" s="28"/>
      <c r="AD131" s="28"/>
      <c r="AG131" s="29"/>
      <c r="AH131" s="29"/>
      <c r="AI131" s="29"/>
      <c r="AJ131" s="26"/>
    </row>
    <row r="132" spans="5:36" s="27" customFormat="1" ht="15" customHeight="1">
      <c r="E132" s="28"/>
      <c r="F132" s="28"/>
      <c r="G132" s="28"/>
      <c r="H132" s="28"/>
      <c r="I132" s="28"/>
      <c r="L132" s="29"/>
      <c r="M132" s="29"/>
      <c r="N132" s="29"/>
      <c r="O132" s="28"/>
      <c r="P132" s="28"/>
      <c r="S132" s="29"/>
      <c r="T132" s="29"/>
      <c r="U132" s="29"/>
      <c r="V132" s="28"/>
      <c r="W132" s="28"/>
      <c r="Z132" s="29"/>
      <c r="AA132" s="29"/>
      <c r="AB132" s="29"/>
      <c r="AC132" s="28"/>
      <c r="AD132" s="28"/>
      <c r="AG132" s="29"/>
      <c r="AH132" s="29"/>
      <c r="AI132" s="29"/>
      <c r="AJ132" s="26"/>
    </row>
    <row r="133" spans="5:36" s="27" customFormat="1" ht="15" customHeight="1">
      <c r="E133" s="28"/>
      <c r="F133" s="28"/>
      <c r="G133" s="28"/>
      <c r="H133" s="28"/>
      <c r="I133" s="28"/>
      <c r="L133" s="29"/>
      <c r="M133" s="29"/>
      <c r="N133" s="29"/>
      <c r="O133" s="28"/>
      <c r="P133" s="28"/>
      <c r="S133" s="29"/>
      <c r="T133" s="29"/>
      <c r="U133" s="29"/>
      <c r="V133" s="28"/>
      <c r="W133" s="28"/>
      <c r="Z133" s="29"/>
      <c r="AA133" s="29"/>
      <c r="AB133" s="29"/>
      <c r="AC133" s="28"/>
      <c r="AD133" s="28"/>
      <c r="AG133" s="29"/>
      <c r="AH133" s="29"/>
      <c r="AI133" s="29"/>
      <c r="AJ133" s="26"/>
    </row>
    <row r="134" spans="5:36" s="27" customFormat="1" ht="15" customHeight="1">
      <c r="E134" s="28"/>
      <c r="F134" s="28"/>
      <c r="G134" s="28"/>
      <c r="H134" s="28"/>
      <c r="I134" s="28"/>
      <c r="L134" s="29"/>
      <c r="M134" s="29"/>
      <c r="N134" s="29"/>
      <c r="O134" s="28"/>
      <c r="P134" s="28"/>
      <c r="S134" s="29"/>
      <c r="T134" s="29"/>
      <c r="U134" s="29"/>
      <c r="V134" s="28"/>
      <c r="W134" s="28"/>
      <c r="Z134" s="29"/>
      <c r="AA134" s="29"/>
      <c r="AB134" s="29"/>
      <c r="AC134" s="28"/>
      <c r="AD134" s="28"/>
      <c r="AG134" s="29"/>
      <c r="AH134" s="29"/>
      <c r="AI134" s="29"/>
      <c r="AJ134" s="26"/>
    </row>
    <row r="135" spans="5:36" s="27" customFormat="1" ht="15" customHeight="1">
      <c r="E135" s="28"/>
      <c r="F135" s="28"/>
      <c r="G135" s="28"/>
      <c r="H135" s="28"/>
      <c r="I135" s="28"/>
      <c r="L135" s="29"/>
      <c r="M135" s="29"/>
      <c r="N135" s="29"/>
      <c r="O135" s="28"/>
      <c r="P135" s="28"/>
      <c r="S135" s="29"/>
      <c r="T135" s="29"/>
      <c r="U135" s="29"/>
      <c r="V135" s="28"/>
      <c r="W135" s="28"/>
      <c r="Z135" s="29"/>
      <c r="AA135" s="29"/>
      <c r="AB135" s="29"/>
      <c r="AC135" s="28"/>
      <c r="AD135" s="28"/>
      <c r="AG135" s="29"/>
      <c r="AH135" s="29"/>
      <c r="AI135" s="29"/>
      <c r="AJ135" s="26"/>
    </row>
    <row r="136" spans="5:36" s="27" customFormat="1" ht="15" customHeight="1">
      <c r="E136" s="28"/>
      <c r="F136" s="28"/>
      <c r="G136" s="28"/>
      <c r="H136" s="28"/>
      <c r="I136" s="28"/>
      <c r="L136" s="29"/>
      <c r="M136" s="29"/>
      <c r="N136" s="29"/>
      <c r="O136" s="28"/>
      <c r="P136" s="28"/>
      <c r="S136" s="29"/>
      <c r="T136" s="29"/>
      <c r="U136" s="29"/>
      <c r="V136" s="28"/>
      <c r="W136" s="28"/>
      <c r="Z136" s="29"/>
      <c r="AA136" s="29"/>
      <c r="AB136" s="29"/>
      <c r="AC136" s="28"/>
      <c r="AD136" s="28"/>
      <c r="AG136" s="29"/>
      <c r="AH136" s="29"/>
      <c r="AI136" s="29"/>
      <c r="AJ136" s="26"/>
    </row>
    <row r="137" spans="5:36" s="27" customFormat="1" ht="15" customHeight="1">
      <c r="E137" s="28"/>
      <c r="F137" s="28"/>
      <c r="G137" s="28"/>
      <c r="H137" s="28"/>
      <c r="I137" s="28"/>
      <c r="L137" s="29"/>
      <c r="M137" s="29"/>
      <c r="N137" s="29"/>
      <c r="O137" s="28"/>
      <c r="P137" s="28"/>
      <c r="S137" s="29"/>
      <c r="T137" s="29"/>
      <c r="U137" s="29"/>
      <c r="V137" s="28"/>
      <c r="W137" s="28"/>
      <c r="Z137" s="29"/>
      <c r="AA137" s="29"/>
      <c r="AB137" s="29"/>
      <c r="AC137" s="28"/>
      <c r="AD137" s="28"/>
      <c r="AG137" s="29"/>
      <c r="AH137" s="29"/>
      <c r="AI137" s="29"/>
      <c r="AJ137" s="26"/>
    </row>
    <row r="138" spans="5:36" s="27" customFormat="1" ht="15" customHeight="1">
      <c r="E138" s="28"/>
      <c r="F138" s="28"/>
      <c r="G138" s="28"/>
      <c r="H138" s="28"/>
      <c r="I138" s="28"/>
      <c r="L138" s="29"/>
      <c r="M138" s="29"/>
      <c r="N138" s="29"/>
      <c r="O138" s="28"/>
      <c r="P138" s="28"/>
      <c r="S138" s="29"/>
      <c r="T138" s="29"/>
      <c r="U138" s="29"/>
      <c r="V138" s="28"/>
      <c r="W138" s="28"/>
      <c r="Z138" s="29"/>
      <c r="AA138" s="29"/>
      <c r="AB138" s="29"/>
      <c r="AC138" s="28"/>
      <c r="AD138" s="28"/>
      <c r="AG138" s="29"/>
      <c r="AH138" s="29"/>
      <c r="AI138" s="29"/>
      <c r="AJ138" s="26"/>
    </row>
    <row r="139" spans="5:36" s="27" customFormat="1" ht="15" customHeight="1">
      <c r="E139" s="28"/>
      <c r="F139" s="28"/>
      <c r="G139" s="28"/>
      <c r="H139" s="28"/>
      <c r="I139" s="28"/>
      <c r="L139" s="29"/>
      <c r="M139" s="29"/>
      <c r="N139" s="29"/>
      <c r="O139" s="28"/>
      <c r="P139" s="28"/>
      <c r="S139" s="29"/>
      <c r="T139" s="29"/>
      <c r="U139" s="29"/>
      <c r="V139" s="28"/>
      <c r="W139" s="28"/>
      <c r="Z139" s="29"/>
      <c r="AA139" s="29"/>
      <c r="AB139" s="29"/>
      <c r="AC139" s="28"/>
      <c r="AD139" s="28"/>
      <c r="AG139" s="29"/>
      <c r="AH139" s="29"/>
      <c r="AI139" s="29"/>
      <c r="AJ139" s="26"/>
    </row>
    <row r="140" spans="5:36" s="27" customFormat="1" ht="15" customHeight="1">
      <c r="E140" s="28"/>
      <c r="F140" s="28"/>
      <c r="G140" s="28"/>
      <c r="H140" s="28"/>
      <c r="I140" s="28"/>
      <c r="L140" s="29"/>
      <c r="M140" s="29"/>
      <c r="N140" s="29"/>
      <c r="O140" s="28"/>
      <c r="P140" s="28"/>
      <c r="S140" s="29"/>
      <c r="T140" s="29"/>
      <c r="U140" s="29"/>
      <c r="V140" s="28"/>
      <c r="W140" s="28"/>
      <c r="Z140" s="29"/>
      <c r="AA140" s="29"/>
      <c r="AB140" s="29"/>
      <c r="AC140" s="28"/>
      <c r="AD140" s="28"/>
      <c r="AG140" s="29"/>
      <c r="AH140" s="29"/>
      <c r="AI140" s="29"/>
      <c r="AJ140" s="26"/>
    </row>
    <row r="141" spans="5:36" s="27" customFormat="1" ht="15" customHeight="1">
      <c r="E141" s="28"/>
      <c r="F141" s="28"/>
      <c r="G141" s="28"/>
      <c r="H141" s="28"/>
      <c r="I141" s="28"/>
      <c r="L141" s="29"/>
      <c r="M141" s="29"/>
      <c r="N141" s="29"/>
      <c r="O141" s="28"/>
      <c r="P141" s="28"/>
      <c r="S141" s="29"/>
      <c r="T141" s="29"/>
      <c r="U141" s="29"/>
      <c r="V141" s="28"/>
      <c r="W141" s="28"/>
      <c r="Z141" s="29"/>
      <c r="AA141" s="29"/>
      <c r="AB141" s="29"/>
      <c r="AC141" s="28"/>
      <c r="AD141" s="28"/>
      <c r="AG141" s="29"/>
      <c r="AH141" s="29"/>
      <c r="AI141" s="29"/>
      <c r="AJ141" s="26"/>
    </row>
    <row r="142" spans="5:36" s="27" customFormat="1" ht="15" customHeight="1">
      <c r="E142" s="28"/>
      <c r="F142" s="28"/>
      <c r="G142" s="28"/>
      <c r="H142" s="28"/>
      <c r="I142" s="28"/>
      <c r="L142" s="29"/>
      <c r="M142" s="29"/>
      <c r="N142" s="29"/>
      <c r="O142" s="28"/>
      <c r="P142" s="28"/>
      <c r="S142" s="29"/>
      <c r="T142" s="29"/>
      <c r="U142" s="29"/>
      <c r="V142" s="28"/>
      <c r="W142" s="28"/>
      <c r="Z142" s="29"/>
      <c r="AA142" s="29"/>
      <c r="AB142" s="29"/>
      <c r="AC142" s="28"/>
      <c r="AD142" s="28"/>
      <c r="AG142" s="29"/>
      <c r="AH142" s="29"/>
      <c r="AI142" s="29"/>
      <c r="AJ142" s="26"/>
    </row>
    <row r="143" spans="5:36" s="27" customFormat="1" ht="15" customHeight="1">
      <c r="E143" s="28"/>
      <c r="F143" s="28"/>
      <c r="G143" s="28"/>
      <c r="H143" s="28"/>
      <c r="I143" s="28"/>
      <c r="L143" s="29"/>
      <c r="M143" s="29"/>
      <c r="N143" s="29"/>
      <c r="O143" s="28"/>
      <c r="P143" s="28"/>
      <c r="S143" s="29"/>
      <c r="T143" s="29"/>
      <c r="U143" s="29"/>
      <c r="V143" s="28"/>
      <c r="W143" s="28"/>
      <c r="Z143" s="29"/>
      <c r="AA143" s="29"/>
      <c r="AB143" s="29"/>
      <c r="AC143" s="28"/>
      <c r="AD143" s="28"/>
      <c r="AG143" s="29"/>
      <c r="AH143" s="29"/>
      <c r="AI143" s="29"/>
      <c r="AJ143" s="26"/>
    </row>
    <row r="144" spans="5:36" s="27" customFormat="1" ht="15" customHeight="1">
      <c r="E144" s="28"/>
      <c r="F144" s="28"/>
      <c r="G144" s="28"/>
      <c r="H144" s="28"/>
      <c r="I144" s="28"/>
      <c r="L144" s="29"/>
      <c r="M144" s="29"/>
      <c r="N144" s="29"/>
      <c r="O144" s="28"/>
      <c r="P144" s="28"/>
      <c r="S144" s="29"/>
      <c r="T144" s="29"/>
      <c r="U144" s="29"/>
      <c r="V144" s="28"/>
      <c r="W144" s="28"/>
      <c r="Z144" s="29"/>
      <c r="AA144" s="29"/>
      <c r="AB144" s="29"/>
      <c r="AC144" s="28"/>
      <c r="AD144" s="28"/>
      <c r="AG144" s="29"/>
      <c r="AH144" s="29"/>
      <c r="AI144" s="29"/>
      <c r="AJ144" s="26"/>
    </row>
    <row r="145" spans="5:36" s="27" customFormat="1" ht="15" customHeight="1">
      <c r="E145" s="28"/>
      <c r="F145" s="28"/>
      <c r="G145" s="28"/>
      <c r="H145" s="28"/>
      <c r="I145" s="28"/>
      <c r="L145" s="29"/>
      <c r="M145" s="29"/>
      <c r="N145" s="29"/>
      <c r="O145" s="28"/>
      <c r="P145" s="28"/>
      <c r="S145" s="29"/>
      <c r="T145" s="29"/>
      <c r="U145" s="29"/>
      <c r="V145" s="28"/>
      <c r="W145" s="28"/>
      <c r="Z145" s="29"/>
      <c r="AA145" s="29"/>
      <c r="AB145" s="29"/>
      <c r="AC145" s="28"/>
      <c r="AD145" s="28"/>
      <c r="AG145" s="29"/>
      <c r="AH145" s="29"/>
      <c r="AI145" s="29"/>
      <c r="AJ145" s="26"/>
    </row>
    <row r="146" spans="5:36" s="27" customFormat="1" ht="15" customHeight="1">
      <c r="E146" s="28"/>
      <c r="F146" s="28"/>
      <c r="G146" s="28"/>
      <c r="H146" s="28"/>
      <c r="I146" s="28"/>
      <c r="L146" s="29"/>
      <c r="M146" s="29"/>
      <c r="N146" s="29"/>
      <c r="O146" s="28"/>
      <c r="P146" s="28"/>
      <c r="S146" s="29"/>
      <c r="T146" s="29"/>
      <c r="U146" s="29"/>
      <c r="V146" s="28"/>
      <c r="W146" s="28"/>
      <c r="Z146" s="29"/>
      <c r="AA146" s="29"/>
      <c r="AB146" s="29"/>
      <c r="AC146" s="28"/>
      <c r="AD146" s="28"/>
      <c r="AG146" s="29"/>
      <c r="AH146" s="29"/>
      <c r="AI146" s="29"/>
      <c r="AJ146" s="26"/>
    </row>
    <row r="147" spans="5:36" s="27" customFormat="1" ht="15" customHeight="1">
      <c r="E147" s="28"/>
      <c r="F147" s="28"/>
      <c r="G147" s="28"/>
      <c r="H147" s="28"/>
      <c r="I147" s="28"/>
      <c r="L147" s="29"/>
      <c r="M147" s="29"/>
      <c r="N147" s="29"/>
      <c r="O147" s="28"/>
      <c r="P147" s="28"/>
      <c r="S147" s="29"/>
      <c r="T147" s="29"/>
      <c r="U147" s="29"/>
      <c r="V147" s="28"/>
      <c r="W147" s="28"/>
      <c r="Z147" s="29"/>
      <c r="AA147" s="29"/>
      <c r="AB147" s="29"/>
      <c r="AC147" s="28"/>
      <c r="AD147" s="28"/>
      <c r="AG147" s="29"/>
      <c r="AH147" s="29"/>
      <c r="AI147" s="29"/>
      <c r="AJ147" s="26"/>
    </row>
    <row r="148" spans="5:36" s="27" customFormat="1" ht="15" customHeight="1">
      <c r="E148" s="28"/>
      <c r="F148" s="28"/>
      <c r="G148" s="28"/>
      <c r="H148" s="28"/>
      <c r="I148" s="28"/>
      <c r="L148" s="29"/>
      <c r="M148" s="29"/>
      <c r="N148" s="29"/>
      <c r="O148" s="28"/>
      <c r="P148" s="28"/>
      <c r="S148" s="29"/>
      <c r="T148" s="29"/>
      <c r="U148" s="29"/>
      <c r="V148" s="28"/>
      <c r="W148" s="28"/>
      <c r="Z148" s="29"/>
      <c r="AA148" s="29"/>
      <c r="AB148" s="29"/>
      <c r="AC148" s="28"/>
      <c r="AD148" s="28"/>
      <c r="AG148" s="29"/>
      <c r="AH148" s="29"/>
      <c r="AI148" s="29"/>
      <c r="AJ148" s="26"/>
    </row>
    <row r="149" spans="5:36" s="27" customFormat="1" ht="15" customHeight="1">
      <c r="E149" s="28"/>
      <c r="F149" s="28"/>
      <c r="G149" s="28"/>
      <c r="H149" s="28"/>
      <c r="I149" s="28"/>
      <c r="L149" s="29"/>
      <c r="M149" s="29"/>
      <c r="N149" s="29"/>
      <c r="O149" s="28"/>
      <c r="P149" s="28"/>
      <c r="S149" s="29"/>
      <c r="T149" s="29"/>
      <c r="U149" s="29"/>
      <c r="V149" s="28"/>
      <c r="W149" s="28"/>
      <c r="Z149" s="29"/>
      <c r="AA149" s="29"/>
      <c r="AB149" s="29"/>
      <c r="AC149" s="28"/>
      <c r="AD149" s="28"/>
      <c r="AG149" s="29"/>
      <c r="AH149" s="29"/>
      <c r="AI149" s="29"/>
      <c r="AJ149" s="26"/>
    </row>
    <row r="150" spans="5:36" s="27" customFormat="1" ht="15" customHeight="1">
      <c r="E150" s="28"/>
      <c r="F150" s="28"/>
      <c r="G150" s="28"/>
      <c r="H150" s="28"/>
      <c r="I150" s="28"/>
      <c r="L150" s="29"/>
      <c r="M150" s="29"/>
      <c r="N150" s="29"/>
      <c r="O150" s="28"/>
      <c r="P150" s="28"/>
      <c r="S150" s="29"/>
      <c r="T150" s="29"/>
      <c r="U150" s="29"/>
      <c r="V150" s="28"/>
      <c r="W150" s="28"/>
      <c r="Z150" s="29"/>
      <c r="AA150" s="29"/>
      <c r="AB150" s="29"/>
      <c r="AC150" s="28"/>
      <c r="AD150" s="28"/>
      <c r="AG150" s="29"/>
      <c r="AH150" s="29"/>
      <c r="AI150" s="29"/>
      <c r="AJ150" s="26"/>
    </row>
    <row r="151" spans="5:36" s="27" customFormat="1" ht="15" customHeight="1">
      <c r="E151" s="28"/>
      <c r="F151" s="28"/>
      <c r="G151" s="28"/>
      <c r="H151" s="28"/>
      <c r="I151" s="28"/>
      <c r="L151" s="29"/>
      <c r="M151" s="29"/>
      <c r="N151" s="29"/>
      <c r="O151" s="28"/>
      <c r="P151" s="28"/>
      <c r="S151" s="29"/>
      <c r="T151" s="29"/>
      <c r="U151" s="29"/>
      <c r="V151" s="28"/>
      <c r="W151" s="28"/>
      <c r="Z151" s="29"/>
      <c r="AA151" s="29"/>
      <c r="AB151" s="29"/>
      <c r="AC151" s="28"/>
      <c r="AD151" s="28"/>
      <c r="AG151" s="29"/>
      <c r="AH151" s="29"/>
      <c r="AI151" s="29"/>
      <c r="AJ151" s="26"/>
    </row>
    <row r="152" spans="5:36" s="27" customFormat="1" ht="15" customHeight="1">
      <c r="E152" s="28"/>
      <c r="F152" s="28"/>
      <c r="G152" s="28"/>
      <c r="H152" s="28"/>
      <c r="I152" s="28"/>
      <c r="L152" s="29"/>
      <c r="M152" s="29"/>
      <c r="N152" s="29"/>
      <c r="O152" s="28"/>
      <c r="P152" s="28"/>
      <c r="S152" s="29"/>
      <c r="T152" s="29"/>
      <c r="U152" s="29"/>
      <c r="V152" s="28"/>
      <c r="W152" s="28"/>
      <c r="Z152" s="29"/>
      <c r="AA152" s="29"/>
      <c r="AB152" s="29"/>
      <c r="AC152" s="28"/>
      <c r="AD152" s="28"/>
      <c r="AG152" s="29"/>
      <c r="AH152" s="29"/>
      <c r="AI152" s="29"/>
      <c r="AJ152" s="26"/>
    </row>
    <row r="153" spans="5:36" s="27" customFormat="1" ht="15" customHeight="1">
      <c r="E153" s="28"/>
      <c r="F153" s="28"/>
      <c r="G153" s="28"/>
      <c r="H153" s="28"/>
      <c r="I153" s="28"/>
      <c r="L153" s="29"/>
      <c r="M153" s="29"/>
      <c r="N153" s="29"/>
      <c r="O153" s="28"/>
      <c r="P153" s="28"/>
      <c r="S153" s="29"/>
      <c r="T153" s="29"/>
      <c r="U153" s="29"/>
      <c r="V153" s="28"/>
      <c r="W153" s="28"/>
      <c r="Z153" s="29"/>
      <c r="AA153" s="29"/>
      <c r="AB153" s="29"/>
      <c r="AC153" s="28"/>
      <c r="AD153" s="28"/>
      <c r="AG153" s="29"/>
      <c r="AH153" s="29"/>
      <c r="AI153" s="29"/>
      <c r="AJ153" s="26"/>
    </row>
    <row r="154" spans="5:36" s="27" customFormat="1" ht="15" customHeight="1">
      <c r="E154" s="28"/>
      <c r="F154" s="28"/>
      <c r="G154" s="28"/>
      <c r="H154" s="28"/>
      <c r="I154" s="28"/>
      <c r="L154" s="29"/>
      <c r="M154" s="29"/>
      <c r="N154" s="29"/>
      <c r="O154" s="28"/>
      <c r="P154" s="28"/>
      <c r="S154" s="29"/>
      <c r="T154" s="29"/>
      <c r="U154" s="29"/>
      <c r="V154" s="28"/>
      <c r="W154" s="28"/>
      <c r="Z154" s="29"/>
      <c r="AA154" s="29"/>
      <c r="AB154" s="29"/>
      <c r="AC154" s="28"/>
      <c r="AD154" s="28"/>
      <c r="AG154" s="29"/>
      <c r="AH154" s="29"/>
      <c r="AI154" s="29"/>
      <c r="AJ154" s="26"/>
    </row>
    <row r="155" spans="5:36" s="27" customFormat="1" ht="15" customHeight="1">
      <c r="E155" s="28"/>
      <c r="F155" s="28"/>
      <c r="G155" s="28"/>
      <c r="H155" s="28"/>
      <c r="I155" s="28"/>
      <c r="L155" s="29"/>
      <c r="M155" s="29"/>
      <c r="N155" s="29"/>
      <c r="O155" s="28"/>
      <c r="P155" s="28"/>
      <c r="S155" s="29"/>
      <c r="T155" s="29"/>
      <c r="U155" s="29"/>
      <c r="V155" s="28"/>
      <c r="W155" s="28"/>
      <c r="Z155" s="29"/>
      <c r="AA155" s="29"/>
      <c r="AB155" s="29"/>
      <c r="AC155" s="28"/>
      <c r="AD155" s="28"/>
      <c r="AG155" s="29"/>
      <c r="AH155" s="29"/>
      <c r="AI155" s="29"/>
      <c r="AJ155" s="26"/>
    </row>
    <row r="156" spans="5:36" s="27" customFormat="1" ht="15" customHeight="1">
      <c r="E156" s="28"/>
      <c r="F156" s="28"/>
      <c r="G156" s="28"/>
      <c r="H156" s="28"/>
      <c r="I156" s="28"/>
      <c r="L156" s="29"/>
      <c r="M156" s="29"/>
      <c r="N156" s="29"/>
      <c r="O156" s="28"/>
      <c r="P156" s="28"/>
      <c r="S156" s="29"/>
      <c r="T156" s="29"/>
      <c r="U156" s="29"/>
      <c r="V156" s="28"/>
      <c r="W156" s="28"/>
      <c r="Z156" s="29"/>
      <c r="AA156" s="29"/>
      <c r="AB156" s="29"/>
      <c r="AC156" s="28"/>
      <c r="AD156" s="28"/>
      <c r="AG156" s="29"/>
      <c r="AH156" s="29"/>
      <c r="AI156" s="29"/>
      <c r="AJ156" s="26"/>
    </row>
    <row r="157" spans="5:36" s="27" customFormat="1" ht="15" customHeight="1">
      <c r="E157" s="28"/>
      <c r="F157" s="28"/>
      <c r="G157" s="28"/>
      <c r="H157" s="28"/>
      <c r="I157" s="28"/>
      <c r="L157" s="29"/>
      <c r="M157" s="29"/>
      <c r="N157" s="29"/>
      <c r="O157" s="28"/>
      <c r="P157" s="28"/>
      <c r="S157" s="29"/>
      <c r="T157" s="29"/>
      <c r="U157" s="29"/>
      <c r="V157" s="28"/>
      <c r="W157" s="28"/>
      <c r="Z157" s="29"/>
      <c r="AA157" s="29"/>
      <c r="AB157" s="29"/>
      <c r="AC157" s="28"/>
      <c r="AD157" s="28"/>
      <c r="AG157" s="29"/>
      <c r="AH157" s="29"/>
      <c r="AI157" s="29"/>
      <c r="AJ157" s="26"/>
    </row>
    <row r="158" spans="5:36" s="27" customFormat="1" ht="15" customHeight="1">
      <c r="E158" s="28"/>
      <c r="F158" s="28"/>
      <c r="G158" s="28"/>
      <c r="H158" s="28"/>
      <c r="I158" s="28"/>
      <c r="L158" s="29"/>
      <c r="M158" s="29"/>
      <c r="N158" s="29"/>
      <c r="O158" s="28"/>
      <c r="P158" s="28"/>
      <c r="S158" s="29"/>
      <c r="T158" s="29"/>
      <c r="U158" s="29"/>
      <c r="V158" s="28"/>
      <c r="W158" s="28"/>
      <c r="Z158" s="29"/>
      <c r="AA158" s="29"/>
      <c r="AB158" s="29"/>
      <c r="AC158" s="28"/>
      <c r="AD158" s="28"/>
      <c r="AG158" s="29"/>
      <c r="AH158" s="29"/>
      <c r="AI158" s="29"/>
      <c r="AJ158" s="26"/>
    </row>
    <row r="159" spans="5:36" s="27" customFormat="1" ht="15" customHeight="1">
      <c r="E159" s="28"/>
      <c r="F159" s="28"/>
      <c r="G159" s="28"/>
      <c r="H159" s="28"/>
      <c r="I159" s="28"/>
      <c r="L159" s="29"/>
      <c r="M159" s="29"/>
      <c r="N159" s="29"/>
      <c r="O159" s="28"/>
      <c r="P159" s="28"/>
      <c r="S159" s="29"/>
      <c r="T159" s="29"/>
      <c r="U159" s="29"/>
      <c r="V159" s="28"/>
      <c r="W159" s="28"/>
      <c r="Z159" s="29"/>
      <c r="AA159" s="29"/>
      <c r="AB159" s="29"/>
      <c r="AC159" s="28"/>
      <c r="AD159" s="28"/>
      <c r="AG159" s="29"/>
      <c r="AH159" s="29"/>
      <c r="AI159" s="29"/>
      <c r="AJ159" s="26"/>
    </row>
    <row r="160" spans="5:36" s="27" customFormat="1" ht="15" customHeight="1">
      <c r="E160" s="28"/>
      <c r="F160" s="28"/>
      <c r="G160" s="28"/>
      <c r="H160" s="28"/>
      <c r="I160" s="28"/>
      <c r="L160" s="29"/>
      <c r="M160" s="29"/>
      <c r="N160" s="29"/>
      <c r="O160" s="28"/>
      <c r="P160" s="28"/>
      <c r="S160" s="29"/>
      <c r="T160" s="29"/>
      <c r="U160" s="29"/>
      <c r="V160" s="28"/>
      <c r="W160" s="28"/>
      <c r="Z160" s="29"/>
      <c r="AA160" s="29"/>
      <c r="AB160" s="29"/>
      <c r="AC160" s="28"/>
      <c r="AD160" s="28"/>
      <c r="AG160" s="29"/>
      <c r="AH160" s="29"/>
      <c r="AI160" s="29"/>
      <c r="AJ160" s="26"/>
    </row>
    <row r="161" spans="5:36" s="27" customFormat="1" ht="15" customHeight="1">
      <c r="E161" s="28"/>
      <c r="F161" s="28"/>
      <c r="G161" s="28"/>
      <c r="H161" s="28"/>
      <c r="I161" s="28"/>
      <c r="L161" s="29"/>
      <c r="M161" s="29"/>
      <c r="N161" s="29"/>
      <c r="O161" s="28"/>
      <c r="P161" s="28"/>
      <c r="S161" s="29"/>
      <c r="T161" s="29"/>
      <c r="U161" s="29"/>
      <c r="V161" s="28"/>
      <c r="W161" s="28"/>
      <c r="Z161" s="29"/>
      <c r="AA161" s="29"/>
      <c r="AB161" s="29"/>
      <c r="AC161" s="28"/>
      <c r="AD161" s="28"/>
      <c r="AG161" s="29"/>
      <c r="AH161" s="29"/>
      <c r="AI161" s="29"/>
      <c r="AJ161" s="26"/>
    </row>
    <row r="162" spans="5:36" s="27" customFormat="1" ht="15" customHeight="1">
      <c r="E162" s="28"/>
      <c r="F162" s="28"/>
      <c r="G162" s="28"/>
      <c r="H162" s="28"/>
      <c r="I162" s="28"/>
      <c r="L162" s="29"/>
      <c r="M162" s="29"/>
      <c r="N162" s="29"/>
      <c r="O162" s="28"/>
      <c r="P162" s="28"/>
      <c r="S162" s="29"/>
      <c r="T162" s="29"/>
      <c r="U162" s="29"/>
      <c r="V162" s="28"/>
      <c r="W162" s="28"/>
      <c r="Z162" s="29"/>
      <c r="AA162" s="29"/>
      <c r="AB162" s="29"/>
      <c r="AC162" s="28"/>
      <c r="AD162" s="28"/>
      <c r="AG162" s="29"/>
      <c r="AH162" s="29"/>
      <c r="AI162" s="29"/>
      <c r="AJ162" s="26"/>
    </row>
    <row r="163" spans="5:36" s="27" customFormat="1" ht="15" customHeight="1">
      <c r="E163" s="28"/>
      <c r="F163" s="28"/>
      <c r="G163" s="28"/>
      <c r="H163" s="28"/>
      <c r="I163" s="28"/>
      <c r="L163" s="29"/>
      <c r="M163" s="29"/>
      <c r="N163" s="29"/>
      <c r="O163" s="28"/>
      <c r="P163" s="28"/>
      <c r="S163" s="29"/>
      <c r="T163" s="29"/>
      <c r="U163" s="29"/>
      <c r="V163" s="28"/>
      <c r="W163" s="28"/>
      <c r="Z163" s="29"/>
      <c r="AA163" s="29"/>
      <c r="AB163" s="29"/>
      <c r="AC163" s="28"/>
      <c r="AD163" s="28"/>
      <c r="AG163" s="29"/>
      <c r="AH163" s="29"/>
      <c r="AI163" s="29"/>
      <c r="AJ163" s="26"/>
    </row>
    <row r="164" spans="5:36" s="27" customFormat="1" ht="15" customHeight="1">
      <c r="E164" s="28"/>
      <c r="F164" s="28"/>
      <c r="G164" s="28"/>
      <c r="H164" s="28"/>
      <c r="I164" s="28"/>
      <c r="L164" s="29"/>
      <c r="M164" s="29"/>
      <c r="N164" s="29"/>
      <c r="O164" s="28"/>
      <c r="P164" s="28"/>
      <c r="S164" s="29"/>
      <c r="T164" s="29"/>
      <c r="U164" s="29"/>
      <c r="V164" s="28"/>
      <c r="W164" s="28"/>
      <c r="Z164" s="29"/>
      <c r="AA164" s="29"/>
      <c r="AB164" s="29"/>
      <c r="AC164" s="28"/>
      <c r="AD164" s="28"/>
      <c r="AG164" s="29"/>
      <c r="AH164" s="29"/>
      <c r="AI164" s="29"/>
      <c r="AJ164" s="26"/>
    </row>
    <row r="165" spans="5:36" s="27" customFormat="1" ht="15" customHeight="1">
      <c r="E165" s="28"/>
      <c r="F165" s="28"/>
      <c r="G165" s="28"/>
      <c r="H165" s="28"/>
      <c r="I165" s="28"/>
      <c r="L165" s="29"/>
      <c r="M165" s="29"/>
      <c r="N165" s="29"/>
      <c r="O165" s="28"/>
      <c r="P165" s="28"/>
      <c r="S165" s="29"/>
      <c r="T165" s="29"/>
      <c r="U165" s="29"/>
      <c r="V165" s="28"/>
      <c r="W165" s="28"/>
      <c r="Z165" s="29"/>
      <c r="AA165" s="29"/>
      <c r="AB165" s="29"/>
      <c r="AC165" s="28"/>
      <c r="AD165" s="28"/>
      <c r="AG165" s="29"/>
      <c r="AH165" s="29"/>
      <c r="AI165" s="29"/>
      <c r="AJ165" s="26"/>
    </row>
    <row r="166" spans="5:36" s="27" customFormat="1" ht="15" customHeight="1">
      <c r="E166" s="28"/>
      <c r="F166" s="28"/>
      <c r="G166" s="28"/>
      <c r="H166" s="28"/>
      <c r="I166" s="28"/>
      <c r="L166" s="29"/>
      <c r="M166" s="29"/>
      <c r="N166" s="29"/>
      <c r="O166" s="28"/>
      <c r="P166" s="28"/>
      <c r="S166" s="29"/>
      <c r="T166" s="29"/>
      <c r="U166" s="29"/>
      <c r="V166" s="28"/>
      <c r="W166" s="28"/>
      <c r="Z166" s="29"/>
      <c r="AA166" s="29"/>
      <c r="AB166" s="29"/>
      <c r="AC166" s="28"/>
      <c r="AD166" s="28"/>
      <c r="AG166" s="29"/>
      <c r="AH166" s="29"/>
      <c r="AI166" s="29"/>
      <c r="AJ166" s="26"/>
    </row>
    <row r="167" spans="5:36" s="27" customFormat="1" ht="15" customHeight="1">
      <c r="E167" s="28"/>
      <c r="F167" s="28"/>
      <c r="G167" s="28"/>
      <c r="H167" s="28"/>
      <c r="I167" s="28"/>
      <c r="L167" s="29"/>
      <c r="M167" s="29"/>
      <c r="N167" s="29"/>
      <c r="O167" s="28"/>
      <c r="P167" s="28"/>
      <c r="S167" s="29"/>
      <c r="T167" s="29"/>
      <c r="U167" s="29"/>
      <c r="V167" s="28"/>
      <c r="W167" s="28"/>
      <c r="Z167" s="29"/>
      <c r="AA167" s="29"/>
      <c r="AB167" s="29"/>
      <c r="AC167" s="28"/>
      <c r="AD167" s="28"/>
      <c r="AG167" s="29"/>
      <c r="AH167" s="29"/>
      <c r="AI167" s="29"/>
      <c r="AJ167" s="26"/>
    </row>
    <row r="168" spans="5:36" s="27" customFormat="1" ht="15" customHeight="1">
      <c r="E168" s="28"/>
      <c r="F168" s="28"/>
      <c r="G168" s="28"/>
      <c r="H168" s="28"/>
      <c r="I168" s="28"/>
      <c r="L168" s="29"/>
      <c r="M168" s="29"/>
      <c r="N168" s="29"/>
      <c r="O168" s="28"/>
      <c r="P168" s="28"/>
      <c r="S168" s="29"/>
      <c r="T168" s="29"/>
      <c r="U168" s="29"/>
      <c r="V168" s="28"/>
      <c r="W168" s="28"/>
      <c r="Z168" s="29"/>
      <c r="AA168" s="29"/>
      <c r="AB168" s="29"/>
      <c r="AC168" s="28"/>
      <c r="AD168" s="28"/>
      <c r="AG168" s="29"/>
      <c r="AH168" s="29"/>
      <c r="AI168" s="29"/>
      <c r="AJ168" s="26"/>
    </row>
    <row r="169" spans="5:36" s="27" customFormat="1" ht="15" customHeight="1">
      <c r="E169" s="28"/>
      <c r="F169" s="28"/>
      <c r="G169" s="28"/>
      <c r="H169" s="28"/>
      <c r="I169" s="28"/>
      <c r="L169" s="29"/>
      <c r="M169" s="29"/>
      <c r="N169" s="29"/>
      <c r="O169" s="28"/>
      <c r="P169" s="28"/>
      <c r="S169" s="29"/>
      <c r="T169" s="29"/>
      <c r="U169" s="29"/>
      <c r="V169" s="28"/>
      <c r="W169" s="28"/>
      <c r="Z169" s="29"/>
      <c r="AA169" s="29"/>
      <c r="AB169" s="29"/>
      <c r="AC169" s="28"/>
      <c r="AD169" s="28"/>
      <c r="AG169" s="29"/>
      <c r="AH169" s="29"/>
      <c r="AI169" s="29"/>
      <c r="AJ169" s="26"/>
    </row>
    <row r="170" spans="5:36" s="27" customFormat="1" ht="15" customHeight="1">
      <c r="E170" s="28"/>
      <c r="F170" s="28"/>
      <c r="G170" s="28"/>
      <c r="H170" s="28"/>
      <c r="I170" s="28"/>
      <c r="L170" s="29"/>
      <c r="M170" s="29"/>
      <c r="N170" s="29"/>
      <c r="O170" s="28"/>
      <c r="P170" s="28"/>
      <c r="S170" s="29"/>
      <c r="T170" s="29"/>
      <c r="U170" s="29"/>
      <c r="V170" s="28"/>
      <c r="W170" s="28"/>
      <c r="Z170" s="29"/>
      <c r="AA170" s="29"/>
      <c r="AB170" s="29"/>
      <c r="AC170" s="28"/>
      <c r="AD170" s="28"/>
      <c r="AG170" s="29"/>
      <c r="AH170" s="29"/>
      <c r="AI170" s="29"/>
      <c r="AJ170" s="26"/>
    </row>
    <row r="171" spans="5:36" s="27" customFormat="1" ht="15" customHeight="1">
      <c r="E171" s="28"/>
      <c r="F171" s="28"/>
      <c r="G171" s="28"/>
      <c r="H171" s="28"/>
      <c r="I171" s="28"/>
      <c r="L171" s="29"/>
      <c r="M171" s="29"/>
      <c r="N171" s="29"/>
      <c r="O171" s="28"/>
      <c r="P171" s="28"/>
      <c r="S171" s="29"/>
      <c r="T171" s="29"/>
      <c r="U171" s="29"/>
      <c r="V171" s="28"/>
      <c r="W171" s="28"/>
      <c r="Z171" s="29"/>
      <c r="AA171" s="29"/>
      <c r="AB171" s="29"/>
      <c r="AC171" s="28"/>
      <c r="AD171" s="28"/>
      <c r="AG171" s="29"/>
      <c r="AH171" s="29"/>
      <c r="AI171" s="29"/>
      <c r="AJ171" s="26"/>
    </row>
    <row r="172" spans="5:36" s="27" customFormat="1" ht="15" customHeight="1">
      <c r="E172" s="28"/>
      <c r="F172" s="28"/>
      <c r="G172" s="28"/>
      <c r="H172" s="28"/>
      <c r="I172" s="28"/>
      <c r="L172" s="29"/>
      <c r="M172" s="29"/>
      <c r="N172" s="29"/>
      <c r="O172" s="28"/>
      <c r="P172" s="28"/>
      <c r="S172" s="29"/>
      <c r="T172" s="29"/>
      <c r="U172" s="29"/>
      <c r="V172" s="28"/>
      <c r="W172" s="28"/>
      <c r="Z172" s="29"/>
      <c r="AA172" s="29"/>
      <c r="AB172" s="29"/>
      <c r="AC172" s="28"/>
      <c r="AD172" s="28"/>
      <c r="AG172" s="29"/>
      <c r="AH172" s="29"/>
      <c r="AI172" s="29"/>
      <c r="AJ172" s="26"/>
    </row>
    <row r="173" spans="5:36" s="27" customFormat="1" ht="15" customHeight="1">
      <c r="E173" s="28"/>
      <c r="F173" s="28"/>
      <c r="G173" s="28"/>
      <c r="H173" s="28"/>
      <c r="I173" s="28"/>
      <c r="L173" s="29"/>
      <c r="M173" s="29"/>
      <c r="N173" s="29"/>
      <c r="O173" s="28"/>
      <c r="P173" s="28"/>
      <c r="S173" s="29"/>
      <c r="T173" s="29"/>
      <c r="U173" s="29"/>
      <c r="V173" s="28"/>
      <c r="W173" s="28"/>
      <c r="Z173" s="29"/>
      <c r="AA173" s="29"/>
      <c r="AB173" s="29"/>
      <c r="AC173" s="28"/>
      <c r="AD173" s="28"/>
      <c r="AG173" s="29"/>
      <c r="AH173" s="29"/>
      <c r="AI173" s="29"/>
      <c r="AJ173" s="26"/>
    </row>
    <row r="174" spans="5:36" s="27" customFormat="1" ht="15" customHeight="1">
      <c r="E174" s="28"/>
      <c r="F174" s="28"/>
      <c r="G174" s="28"/>
      <c r="H174" s="28"/>
      <c r="I174" s="28"/>
      <c r="L174" s="29"/>
      <c r="M174" s="29"/>
      <c r="N174" s="29"/>
      <c r="O174" s="28"/>
      <c r="P174" s="28"/>
      <c r="S174" s="29"/>
      <c r="T174" s="29"/>
      <c r="U174" s="29"/>
      <c r="V174" s="28"/>
      <c r="W174" s="28"/>
      <c r="Z174" s="29"/>
      <c r="AA174" s="29"/>
      <c r="AB174" s="29"/>
      <c r="AC174" s="28"/>
      <c r="AD174" s="28"/>
      <c r="AG174" s="29"/>
      <c r="AH174" s="29"/>
      <c r="AI174" s="29"/>
      <c r="AJ174" s="26"/>
    </row>
    <row r="175" spans="5:36" s="27" customFormat="1" ht="15" customHeight="1">
      <c r="E175" s="28"/>
      <c r="F175" s="28"/>
      <c r="G175" s="28"/>
      <c r="H175" s="28"/>
      <c r="I175" s="28"/>
      <c r="L175" s="29"/>
      <c r="M175" s="29"/>
      <c r="N175" s="29"/>
      <c r="O175" s="28"/>
      <c r="P175" s="28"/>
      <c r="S175" s="29"/>
      <c r="T175" s="29"/>
      <c r="U175" s="29"/>
      <c r="V175" s="28"/>
      <c r="W175" s="28"/>
      <c r="Z175" s="29"/>
      <c r="AA175" s="29"/>
      <c r="AB175" s="29"/>
      <c r="AC175" s="28"/>
      <c r="AD175" s="28"/>
      <c r="AG175" s="29"/>
      <c r="AH175" s="29"/>
      <c r="AI175" s="29"/>
      <c r="AJ175" s="26"/>
    </row>
    <row r="176" spans="5:36" s="27" customFormat="1" ht="15" customHeight="1">
      <c r="E176" s="28"/>
      <c r="F176" s="28"/>
      <c r="G176" s="28"/>
      <c r="H176" s="28"/>
      <c r="I176" s="28"/>
      <c r="L176" s="29"/>
      <c r="M176" s="29"/>
      <c r="N176" s="29"/>
      <c r="O176" s="28"/>
      <c r="P176" s="28"/>
      <c r="S176" s="29"/>
      <c r="T176" s="29"/>
      <c r="U176" s="29"/>
      <c r="V176" s="28"/>
      <c r="W176" s="28"/>
      <c r="Z176" s="29"/>
      <c r="AA176" s="29"/>
      <c r="AB176" s="29"/>
      <c r="AC176" s="28"/>
      <c r="AD176" s="28"/>
      <c r="AG176" s="29"/>
      <c r="AH176" s="29"/>
      <c r="AI176" s="29"/>
      <c r="AJ176" s="26"/>
    </row>
    <row r="177" spans="5:36" s="27" customFormat="1" ht="15" customHeight="1">
      <c r="E177" s="28"/>
      <c r="F177" s="28"/>
      <c r="G177" s="28"/>
      <c r="H177" s="28"/>
      <c r="I177" s="28"/>
      <c r="L177" s="29"/>
      <c r="M177" s="29"/>
      <c r="N177" s="29"/>
      <c r="O177" s="28"/>
      <c r="P177" s="28"/>
      <c r="S177" s="29"/>
      <c r="T177" s="29"/>
      <c r="U177" s="29"/>
      <c r="V177" s="28"/>
      <c r="W177" s="28"/>
      <c r="Z177" s="29"/>
      <c r="AA177" s="29"/>
      <c r="AB177" s="29"/>
      <c r="AC177" s="28"/>
      <c r="AD177" s="28"/>
      <c r="AG177" s="29"/>
      <c r="AH177" s="29"/>
      <c r="AI177" s="29"/>
      <c r="AJ177" s="26"/>
    </row>
    <row r="178" spans="5:36" s="27" customFormat="1" ht="15" customHeight="1">
      <c r="E178" s="28"/>
      <c r="F178" s="28"/>
      <c r="G178" s="28"/>
      <c r="H178" s="28"/>
      <c r="I178" s="28"/>
      <c r="L178" s="29"/>
      <c r="M178" s="29"/>
      <c r="N178" s="29"/>
      <c r="O178" s="28"/>
      <c r="P178" s="28"/>
      <c r="S178" s="29"/>
      <c r="T178" s="29"/>
      <c r="U178" s="29"/>
      <c r="V178" s="28"/>
      <c r="W178" s="28"/>
      <c r="Z178" s="29"/>
      <c r="AA178" s="29"/>
      <c r="AB178" s="29"/>
      <c r="AC178" s="28"/>
      <c r="AD178" s="28"/>
      <c r="AG178" s="29"/>
      <c r="AH178" s="29"/>
      <c r="AI178" s="29"/>
      <c r="AJ178" s="26"/>
    </row>
    <row r="179" spans="5:36" s="27" customFormat="1" ht="15" customHeight="1">
      <c r="E179" s="28"/>
      <c r="F179" s="28"/>
      <c r="G179" s="28"/>
      <c r="H179" s="28"/>
      <c r="I179" s="28"/>
      <c r="L179" s="29"/>
      <c r="M179" s="29"/>
      <c r="N179" s="29"/>
      <c r="O179" s="28"/>
      <c r="P179" s="28"/>
      <c r="S179" s="29"/>
      <c r="T179" s="29"/>
      <c r="U179" s="29"/>
      <c r="V179" s="28"/>
      <c r="W179" s="28"/>
      <c r="Z179" s="29"/>
      <c r="AA179" s="29"/>
      <c r="AB179" s="29"/>
      <c r="AC179" s="28"/>
      <c r="AD179" s="28"/>
      <c r="AG179" s="29"/>
      <c r="AH179" s="29"/>
      <c r="AI179" s="29"/>
      <c r="AJ179" s="26"/>
    </row>
    <row r="180" spans="5:36" s="27" customFormat="1" ht="15" customHeight="1">
      <c r="E180" s="28"/>
      <c r="F180" s="28"/>
      <c r="G180" s="28"/>
      <c r="H180" s="28"/>
      <c r="I180" s="28"/>
      <c r="L180" s="29"/>
      <c r="M180" s="29"/>
      <c r="N180" s="29"/>
      <c r="O180" s="28"/>
      <c r="P180" s="28"/>
      <c r="S180" s="29"/>
      <c r="T180" s="29"/>
      <c r="U180" s="29"/>
      <c r="V180" s="28"/>
      <c r="W180" s="28"/>
      <c r="Z180" s="29"/>
      <c r="AA180" s="29"/>
      <c r="AB180" s="29"/>
      <c r="AC180" s="28"/>
      <c r="AD180" s="28"/>
      <c r="AG180" s="29"/>
      <c r="AH180" s="29"/>
      <c r="AI180" s="29"/>
      <c r="AJ180" s="26"/>
    </row>
    <row r="181" spans="5:36" s="27" customFormat="1" ht="15" customHeight="1">
      <c r="E181" s="28"/>
      <c r="F181" s="28"/>
      <c r="G181" s="28"/>
      <c r="H181" s="28"/>
      <c r="I181" s="28"/>
      <c r="L181" s="29"/>
      <c r="M181" s="29"/>
      <c r="N181" s="29"/>
      <c r="O181" s="28"/>
      <c r="P181" s="28"/>
      <c r="S181" s="29"/>
      <c r="T181" s="29"/>
      <c r="U181" s="29"/>
      <c r="V181" s="28"/>
      <c r="W181" s="28"/>
      <c r="Z181" s="29"/>
      <c r="AA181" s="29"/>
      <c r="AB181" s="29"/>
      <c r="AC181" s="28"/>
      <c r="AD181" s="28"/>
      <c r="AG181" s="29"/>
      <c r="AH181" s="29"/>
      <c r="AI181" s="29"/>
      <c r="AJ181" s="26"/>
    </row>
    <row r="182" spans="5:36" s="27" customFormat="1" ht="15" customHeight="1">
      <c r="E182" s="28"/>
      <c r="F182" s="28"/>
      <c r="G182" s="28"/>
      <c r="H182" s="28"/>
      <c r="I182" s="28"/>
      <c r="L182" s="29"/>
      <c r="M182" s="29"/>
      <c r="N182" s="29"/>
      <c r="O182" s="28"/>
      <c r="P182" s="28"/>
      <c r="S182" s="29"/>
      <c r="T182" s="29"/>
      <c r="U182" s="29"/>
      <c r="V182" s="28"/>
      <c r="W182" s="28"/>
      <c r="Z182" s="29"/>
      <c r="AA182" s="29"/>
      <c r="AB182" s="29"/>
      <c r="AC182" s="28"/>
      <c r="AD182" s="28"/>
      <c r="AG182" s="29"/>
      <c r="AH182" s="29"/>
      <c r="AI182" s="29"/>
      <c r="AJ182" s="26"/>
    </row>
    <row r="183" spans="5:36" s="27" customFormat="1" ht="15" customHeight="1">
      <c r="E183" s="28"/>
      <c r="F183" s="28"/>
      <c r="G183" s="28"/>
      <c r="H183" s="28"/>
      <c r="I183" s="28"/>
      <c r="L183" s="29"/>
      <c r="M183" s="29"/>
      <c r="N183" s="29"/>
      <c r="O183" s="28"/>
      <c r="P183" s="28"/>
      <c r="S183" s="29"/>
      <c r="T183" s="29"/>
      <c r="U183" s="29"/>
      <c r="V183" s="28"/>
      <c r="W183" s="28"/>
      <c r="Z183" s="29"/>
      <c r="AA183" s="29"/>
      <c r="AB183" s="29"/>
      <c r="AC183" s="28"/>
      <c r="AD183" s="28"/>
      <c r="AG183" s="29"/>
      <c r="AH183" s="29"/>
      <c r="AI183" s="29"/>
      <c r="AJ183" s="26"/>
    </row>
    <row r="184" spans="5:36" s="27" customFormat="1" ht="15" customHeight="1">
      <c r="E184" s="28"/>
      <c r="F184" s="28"/>
      <c r="G184" s="28"/>
      <c r="H184" s="28"/>
      <c r="I184" s="28"/>
      <c r="L184" s="29"/>
      <c r="M184" s="29"/>
      <c r="N184" s="29"/>
      <c r="O184" s="28"/>
      <c r="P184" s="28"/>
      <c r="S184" s="29"/>
      <c r="T184" s="29"/>
      <c r="U184" s="29"/>
      <c r="V184" s="28"/>
      <c r="W184" s="28"/>
      <c r="Z184" s="29"/>
      <c r="AA184" s="29"/>
      <c r="AB184" s="29"/>
      <c r="AC184" s="28"/>
      <c r="AD184" s="28"/>
      <c r="AG184" s="29"/>
      <c r="AH184" s="29"/>
      <c r="AI184" s="29"/>
      <c r="AJ184" s="26"/>
    </row>
    <row r="185" spans="5:36" s="27" customFormat="1" ht="15" customHeight="1">
      <c r="E185" s="28"/>
      <c r="F185" s="28"/>
      <c r="G185" s="28"/>
      <c r="H185" s="28"/>
      <c r="I185" s="28"/>
      <c r="L185" s="29"/>
      <c r="M185" s="29"/>
      <c r="N185" s="29"/>
      <c r="O185" s="28"/>
      <c r="P185" s="28"/>
      <c r="S185" s="29"/>
      <c r="T185" s="29"/>
      <c r="U185" s="29"/>
      <c r="V185" s="28"/>
      <c r="W185" s="28"/>
      <c r="Z185" s="29"/>
      <c r="AA185" s="29"/>
      <c r="AB185" s="29"/>
      <c r="AC185" s="28"/>
      <c r="AD185" s="28"/>
      <c r="AG185" s="29"/>
      <c r="AH185" s="29"/>
      <c r="AI185" s="29"/>
      <c r="AJ185" s="26"/>
    </row>
    <row r="186" spans="5:36" s="27" customFormat="1" ht="15" customHeight="1">
      <c r="E186" s="28"/>
      <c r="F186" s="28"/>
      <c r="G186" s="28"/>
      <c r="H186" s="28"/>
      <c r="I186" s="28"/>
      <c r="L186" s="29"/>
      <c r="M186" s="29"/>
      <c r="N186" s="29"/>
      <c r="O186" s="28"/>
      <c r="P186" s="28"/>
      <c r="S186" s="29"/>
      <c r="T186" s="29"/>
      <c r="U186" s="29"/>
      <c r="V186" s="28"/>
      <c r="W186" s="28"/>
      <c r="Z186" s="29"/>
      <c r="AA186" s="29"/>
      <c r="AB186" s="29"/>
      <c r="AC186" s="28"/>
      <c r="AD186" s="28"/>
      <c r="AG186" s="29"/>
      <c r="AH186" s="29"/>
      <c r="AI186" s="29"/>
      <c r="AJ186" s="26"/>
    </row>
    <row r="187" spans="5:36" s="27" customFormat="1" ht="15" customHeight="1">
      <c r="E187" s="28"/>
      <c r="F187" s="28"/>
      <c r="G187" s="28"/>
      <c r="H187" s="28"/>
      <c r="I187" s="28"/>
      <c r="L187" s="29"/>
      <c r="M187" s="29"/>
      <c r="N187" s="29"/>
      <c r="O187" s="28"/>
      <c r="P187" s="28"/>
      <c r="S187" s="29"/>
      <c r="T187" s="29"/>
      <c r="U187" s="29"/>
      <c r="V187" s="28"/>
      <c r="W187" s="28"/>
      <c r="Z187" s="29"/>
      <c r="AA187" s="29"/>
      <c r="AB187" s="29"/>
      <c r="AC187" s="28"/>
      <c r="AD187" s="28"/>
      <c r="AG187" s="29"/>
      <c r="AH187" s="29"/>
      <c r="AI187" s="29"/>
      <c r="AJ187" s="26"/>
    </row>
    <row r="188" spans="5:36" s="27" customFormat="1" ht="15" customHeight="1">
      <c r="E188" s="28"/>
      <c r="F188" s="28"/>
      <c r="G188" s="28"/>
      <c r="H188" s="28"/>
      <c r="I188" s="28"/>
      <c r="L188" s="29"/>
      <c r="M188" s="29"/>
      <c r="N188" s="29"/>
      <c r="O188" s="28"/>
      <c r="P188" s="28"/>
      <c r="S188" s="29"/>
      <c r="T188" s="29"/>
      <c r="U188" s="29"/>
      <c r="V188" s="28"/>
      <c r="W188" s="28"/>
      <c r="Z188" s="29"/>
      <c r="AA188" s="29"/>
      <c r="AB188" s="29"/>
      <c r="AC188" s="28"/>
      <c r="AD188" s="28"/>
      <c r="AG188" s="29"/>
      <c r="AH188" s="29"/>
      <c r="AI188" s="29"/>
      <c r="AJ188" s="26"/>
    </row>
    <row r="189" spans="5:36" s="27" customFormat="1" ht="15" customHeight="1">
      <c r="E189" s="28"/>
      <c r="F189" s="28"/>
      <c r="G189" s="28"/>
      <c r="H189" s="28"/>
      <c r="I189" s="28"/>
      <c r="L189" s="29"/>
      <c r="M189" s="29"/>
      <c r="N189" s="29"/>
      <c r="O189" s="28"/>
      <c r="P189" s="28"/>
      <c r="S189" s="29"/>
      <c r="T189" s="29"/>
      <c r="U189" s="29"/>
      <c r="V189" s="28"/>
      <c r="W189" s="28"/>
      <c r="Z189" s="29"/>
      <c r="AA189" s="29"/>
      <c r="AB189" s="29"/>
      <c r="AC189" s="28"/>
      <c r="AD189" s="28"/>
      <c r="AG189" s="29"/>
      <c r="AH189" s="29"/>
      <c r="AI189" s="29"/>
      <c r="AJ189" s="26"/>
    </row>
    <row r="190" spans="5:36" s="27" customFormat="1" ht="15" customHeight="1">
      <c r="E190" s="28"/>
      <c r="F190" s="28"/>
      <c r="G190" s="28"/>
      <c r="H190" s="28"/>
      <c r="I190" s="28"/>
      <c r="L190" s="29"/>
      <c r="M190" s="29"/>
      <c r="N190" s="29"/>
      <c r="O190" s="28"/>
      <c r="P190" s="28"/>
      <c r="S190" s="29"/>
      <c r="T190" s="29"/>
      <c r="U190" s="29"/>
      <c r="V190" s="28"/>
      <c r="W190" s="28"/>
      <c r="Z190" s="29"/>
      <c r="AA190" s="29"/>
      <c r="AB190" s="29"/>
      <c r="AC190" s="28"/>
      <c r="AD190" s="28"/>
      <c r="AG190" s="29"/>
      <c r="AH190" s="29"/>
      <c r="AI190" s="29"/>
      <c r="AJ190" s="26"/>
    </row>
    <row r="191" spans="5:36" s="27" customFormat="1" ht="15" customHeight="1">
      <c r="E191" s="28"/>
      <c r="F191" s="28"/>
      <c r="G191" s="28"/>
      <c r="H191" s="28"/>
      <c r="I191" s="28"/>
      <c r="L191" s="29"/>
      <c r="M191" s="29"/>
      <c r="N191" s="29"/>
      <c r="O191" s="28"/>
      <c r="P191" s="28"/>
      <c r="S191" s="29"/>
      <c r="T191" s="29"/>
      <c r="U191" s="29"/>
      <c r="V191" s="28"/>
      <c r="W191" s="28"/>
      <c r="Z191" s="29"/>
      <c r="AA191" s="29"/>
      <c r="AB191" s="29"/>
      <c r="AC191" s="28"/>
      <c r="AD191" s="28"/>
      <c r="AG191" s="29"/>
      <c r="AH191" s="29"/>
      <c r="AI191" s="29"/>
      <c r="AJ191" s="26"/>
    </row>
    <row r="192" spans="5:36" s="27" customFormat="1" ht="15" customHeight="1">
      <c r="E192" s="28"/>
      <c r="F192" s="28"/>
      <c r="G192" s="28"/>
      <c r="H192" s="28"/>
      <c r="I192" s="28"/>
      <c r="L192" s="29"/>
      <c r="M192" s="29"/>
      <c r="N192" s="29"/>
      <c r="O192" s="28"/>
      <c r="P192" s="28"/>
      <c r="S192" s="29"/>
      <c r="T192" s="29"/>
      <c r="U192" s="29"/>
      <c r="V192" s="28"/>
      <c r="W192" s="28"/>
      <c r="Z192" s="29"/>
      <c r="AA192" s="29"/>
      <c r="AB192" s="29"/>
      <c r="AC192" s="28"/>
      <c r="AD192" s="28"/>
      <c r="AG192" s="29"/>
      <c r="AH192" s="29"/>
      <c r="AI192" s="29"/>
      <c r="AJ192" s="26"/>
    </row>
    <row r="193" spans="5:36" s="27" customFormat="1" ht="15" customHeight="1">
      <c r="E193" s="28"/>
      <c r="F193" s="28"/>
      <c r="G193" s="28"/>
      <c r="H193" s="28"/>
      <c r="I193" s="28"/>
      <c r="L193" s="29"/>
      <c r="M193" s="29"/>
      <c r="N193" s="29"/>
      <c r="O193" s="28"/>
      <c r="P193" s="28"/>
      <c r="S193" s="29"/>
      <c r="T193" s="29"/>
      <c r="U193" s="29"/>
      <c r="V193" s="28"/>
      <c r="W193" s="28"/>
      <c r="Z193" s="29"/>
      <c r="AA193" s="29"/>
      <c r="AB193" s="29"/>
      <c r="AC193" s="28"/>
      <c r="AD193" s="28"/>
      <c r="AG193" s="29"/>
      <c r="AH193" s="29"/>
      <c r="AI193" s="29"/>
      <c r="AJ193" s="26"/>
    </row>
    <row r="194" spans="5:36" s="27" customFormat="1" ht="15" customHeight="1">
      <c r="E194" s="28"/>
      <c r="F194" s="28"/>
      <c r="G194" s="28"/>
      <c r="H194" s="28"/>
      <c r="I194" s="28"/>
      <c r="L194" s="29"/>
      <c r="M194" s="29"/>
      <c r="N194" s="29"/>
      <c r="O194" s="28"/>
      <c r="P194" s="28"/>
      <c r="S194" s="29"/>
      <c r="T194" s="29"/>
      <c r="U194" s="29"/>
      <c r="V194" s="28"/>
      <c r="W194" s="28"/>
      <c r="Z194" s="29"/>
      <c r="AA194" s="29"/>
      <c r="AB194" s="29"/>
      <c r="AC194" s="28"/>
      <c r="AD194" s="28"/>
      <c r="AG194" s="29"/>
      <c r="AH194" s="29"/>
      <c r="AI194" s="29"/>
      <c r="AJ194" s="26"/>
    </row>
    <row r="195" spans="5:36" s="27" customFormat="1" ht="15" customHeight="1">
      <c r="E195" s="28"/>
      <c r="F195" s="28"/>
      <c r="G195" s="28"/>
      <c r="H195" s="28"/>
      <c r="I195" s="28"/>
      <c r="L195" s="29"/>
      <c r="M195" s="29"/>
      <c r="N195" s="29"/>
      <c r="O195" s="28"/>
      <c r="P195" s="28"/>
      <c r="S195" s="29"/>
      <c r="T195" s="29"/>
      <c r="U195" s="29"/>
      <c r="V195" s="28"/>
      <c r="W195" s="28"/>
      <c r="Z195" s="29"/>
      <c r="AA195" s="29"/>
      <c r="AB195" s="29"/>
      <c r="AC195" s="28"/>
      <c r="AD195" s="28"/>
      <c r="AG195" s="29"/>
      <c r="AH195" s="29"/>
      <c r="AI195" s="29"/>
      <c r="AJ195" s="26"/>
    </row>
    <row r="196" spans="5:36" s="27" customFormat="1" ht="15" customHeight="1">
      <c r="E196" s="28"/>
      <c r="F196" s="28"/>
      <c r="G196" s="28"/>
      <c r="H196" s="28"/>
      <c r="I196" s="28"/>
      <c r="L196" s="29"/>
      <c r="M196" s="29"/>
      <c r="N196" s="29"/>
      <c r="O196" s="28"/>
      <c r="P196" s="28"/>
      <c r="S196" s="29"/>
      <c r="T196" s="29"/>
      <c r="U196" s="29"/>
      <c r="V196" s="28"/>
      <c r="W196" s="28"/>
      <c r="Z196" s="29"/>
      <c r="AA196" s="29"/>
      <c r="AB196" s="29"/>
      <c r="AC196" s="28"/>
      <c r="AD196" s="28"/>
      <c r="AG196" s="29"/>
      <c r="AH196" s="29"/>
      <c r="AI196" s="29"/>
      <c r="AJ196" s="26"/>
    </row>
    <row r="197" spans="5:36" s="27" customFormat="1" ht="15" customHeight="1">
      <c r="E197" s="28"/>
      <c r="F197" s="28"/>
      <c r="G197" s="28"/>
      <c r="H197" s="28"/>
      <c r="I197" s="28"/>
      <c r="L197" s="29"/>
      <c r="M197" s="29"/>
      <c r="N197" s="29"/>
      <c r="O197" s="28"/>
      <c r="P197" s="28"/>
      <c r="S197" s="29"/>
      <c r="T197" s="29"/>
      <c r="U197" s="29"/>
      <c r="V197" s="28"/>
      <c r="W197" s="28"/>
      <c r="Z197" s="29"/>
      <c r="AA197" s="29"/>
      <c r="AB197" s="29"/>
      <c r="AC197" s="28"/>
      <c r="AD197" s="28"/>
      <c r="AG197" s="29"/>
      <c r="AH197" s="29"/>
      <c r="AI197" s="29"/>
      <c r="AJ197" s="26"/>
    </row>
    <row r="198" spans="5:36" s="27" customFormat="1" ht="15" customHeight="1">
      <c r="E198" s="28"/>
      <c r="F198" s="28"/>
      <c r="G198" s="28"/>
      <c r="H198" s="28"/>
      <c r="I198" s="28"/>
      <c r="L198" s="29"/>
      <c r="M198" s="29"/>
      <c r="N198" s="29"/>
      <c r="O198" s="28"/>
      <c r="P198" s="28"/>
      <c r="S198" s="29"/>
      <c r="T198" s="29"/>
      <c r="U198" s="29"/>
      <c r="V198" s="28"/>
      <c r="W198" s="28"/>
      <c r="Z198" s="29"/>
      <c r="AA198" s="29"/>
      <c r="AB198" s="29"/>
      <c r="AC198" s="28"/>
      <c r="AD198" s="28"/>
      <c r="AG198" s="29"/>
      <c r="AH198" s="29"/>
      <c r="AI198" s="29"/>
      <c r="AJ198" s="26"/>
    </row>
    <row r="199" spans="5:36" s="27" customFormat="1" ht="15" customHeight="1">
      <c r="E199" s="28"/>
      <c r="F199" s="28"/>
      <c r="G199" s="28"/>
      <c r="H199" s="28"/>
      <c r="I199" s="28"/>
      <c r="L199" s="29"/>
      <c r="M199" s="29"/>
      <c r="N199" s="29"/>
      <c r="O199" s="28"/>
      <c r="P199" s="28"/>
      <c r="S199" s="29"/>
      <c r="T199" s="29"/>
      <c r="U199" s="29"/>
      <c r="V199" s="28"/>
      <c r="W199" s="28"/>
      <c r="Z199" s="29"/>
      <c r="AA199" s="29"/>
      <c r="AB199" s="29"/>
      <c r="AC199" s="28"/>
      <c r="AD199" s="28"/>
      <c r="AG199" s="29"/>
      <c r="AH199" s="29"/>
      <c r="AI199" s="29"/>
      <c r="AJ199" s="26"/>
    </row>
    <row r="200" spans="5:36" s="27" customFormat="1" ht="15" customHeight="1">
      <c r="E200" s="28"/>
      <c r="F200" s="28"/>
      <c r="G200" s="28"/>
      <c r="H200" s="28"/>
      <c r="I200" s="28"/>
      <c r="L200" s="29"/>
      <c r="M200" s="29"/>
      <c r="N200" s="29"/>
      <c r="O200" s="28"/>
      <c r="P200" s="28"/>
      <c r="S200" s="29"/>
      <c r="T200" s="29"/>
      <c r="U200" s="29"/>
      <c r="V200" s="28"/>
      <c r="W200" s="28"/>
      <c r="Z200" s="29"/>
      <c r="AA200" s="29"/>
      <c r="AB200" s="29"/>
      <c r="AC200" s="28"/>
      <c r="AD200" s="28"/>
      <c r="AG200" s="29"/>
      <c r="AH200" s="29"/>
      <c r="AI200" s="29"/>
      <c r="AJ200" s="26"/>
    </row>
    <row r="201" spans="5:36" s="27" customFormat="1" ht="15" customHeight="1">
      <c r="E201" s="28"/>
      <c r="F201" s="28"/>
      <c r="G201" s="28"/>
      <c r="H201" s="28"/>
      <c r="I201" s="28"/>
      <c r="L201" s="29"/>
      <c r="M201" s="29"/>
      <c r="N201" s="29"/>
      <c r="O201" s="28"/>
      <c r="P201" s="28"/>
      <c r="S201" s="29"/>
      <c r="T201" s="29"/>
      <c r="U201" s="29"/>
      <c r="V201" s="28"/>
      <c r="W201" s="28"/>
      <c r="Z201" s="29"/>
      <c r="AA201" s="29"/>
      <c r="AB201" s="29"/>
      <c r="AC201" s="28"/>
      <c r="AD201" s="28"/>
      <c r="AG201" s="29"/>
      <c r="AH201" s="29"/>
      <c r="AI201" s="29"/>
      <c r="AJ201" s="26"/>
    </row>
    <row r="202" spans="5:36" s="27" customFormat="1" ht="15" customHeight="1">
      <c r="E202" s="28"/>
      <c r="F202" s="28"/>
      <c r="G202" s="28"/>
      <c r="H202" s="28"/>
      <c r="I202" s="28"/>
      <c r="L202" s="29"/>
      <c r="M202" s="29"/>
      <c r="N202" s="29"/>
      <c r="O202" s="28"/>
      <c r="P202" s="28"/>
      <c r="S202" s="29"/>
      <c r="T202" s="29"/>
      <c r="U202" s="29"/>
      <c r="V202" s="28"/>
      <c r="W202" s="28"/>
      <c r="Z202" s="29"/>
      <c r="AA202" s="29"/>
      <c r="AB202" s="29"/>
      <c r="AC202" s="28"/>
      <c r="AD202" s="28"/>
      <c r="AG202" s="29"/>
      <c r="AH202" s="29"/>
      <c r="AI202" s="29"/>
      <c r="AJ202" s="26"/>
    </row>
    <row r="203" spans="5:36" s="27" customFormat="1" ht="15" customHeight="1">
      <c r="E203" s="28"/>
      <c r="F203" s="28"/>
      <c r="G203" s="28"/>
      <c r="H203" s="28"/>
      <c r="I203" s="28"/>
      <c r="L203" s="29"/>
      <c r="M203" s="29"/>
      <c r="N203" s="29"/>
      <c r="O203" s="28"/>
      <c r="P203" s="28"/>
      <c r="S203" s="29"/>
      <c r="T203" s="29"/>
      <c r="U203" s="29"/>
      <c r="V203" s="28"/>
      <c r="W203" s="28"/>
      <c r="Z203" s="29"/>
      <c r="AA203" s="29"/>
      <c r="AB203" s="29"/>
      <c r="AC203" s="28"/>
      <c r="AD203" s="28"/>
      <c r="AG203" s="29"/>
      <c r="AH203" s="29"/>
      <c r="AI203" s="29"/>
      <c r="AJ203" s="26"/>
    </row>
    <row r="204" spans="5:36" s="27" customFormat="1" ht="15" customHeight="1">
      <c r="E204" s="28"/>
      <c r="F204" s="28"/>
      <c r="G204" s="28"/>
      <c r="H204" s="28"/>
      <c r="I204" s="28"/>
      <c r="L204" s="29"/>
      <c r="M204" s="29"/>
      <c r="N204" s="29"/>
      <c r="O204" s="28"/>
      <c r="P204" s="28"/>
      <c r="S204" s="29"/>
      <c r="T204" s="29"/>
      <c r="U204" s="29"/>
      <c r="V204" s="28"/>
      <c r="W204" s="28"/>
      <c r="Z204" s="29"/>
      <c r="AA204" s="29"/>
      <c r="AB204" s="29"/>
      <c r="AC204" s="28"/>
      <c r="AD204" s="28"/>
      <c r="AG204" s="29"/>
      <c r="AH204" s="29"/>
      <c r="AI204" s="29"/>
      <c r="AJ204" s="26"/>
    </row>
    <row r="205" spans="5:36" s="27" customFormat="1" ht="15" customHeight="1">
      <c r="E205" s="28"/>
      <c r="F205" s="28"/>
      <c r="G205" s="28"/>
      <c r="H205" s="28"/>
      <c r="I205" s="28"/>
      <c r="L205" s="29"/>
      <c r="M205" s="29"/>
      <c r="N205" s="29"/>
      <c r="O205" s="28"/>
      <c r="P205" s="28"/>
      <c r="S205" s="29"/>
      <c r="T205" s="29"/>
      <c r="U205" s="29"/>
      <c r="V205" s="28"/>
      <c r="W205" s="28"/>
      <c r="Z205" s="29"/>
      <c r="AA205" s="29"/>
      <c r="AB205" s="29"/>
      <c r="AC205" s="28"/>
      <c r="AD205" s="28"/>
      <c r="AG205" s="29"/>
      <c r="AH205" s="29"/>
      <c r="AI205" s="29"/>
      <c r="AJ205" s="26"/>
    </row>
    <row r="206" spans="5:36" s="27" customFormat="1" ht="15" customHeight="1">
      <c r="E206" s="28"/>
      <c r="F206" s="28"/>
      <c r="G206" s="28"/>
      <c r="H206" s="28"/>
      <c r="I206" s="28"/>
      <c r="L206" s="29"/>
      <c r="M206" s="29"/>
      <c r="N206" s="29"/>
      <c r="O206" s="28"/>
      <c r="P206" s="28"/>
      <c r="S206" s="29"/>
      <c r="T206" s="29"/>
      <c r="U206" s="29"/>
      <c r="V206" s="28"/>
      <c r="W206" s="28"/>
      <c r="Z206" s="29"/>
      <c r="AA206" s="29"/>
      <c r="AB206" s="29"/>
      <c r="AC206" s="28"/>
      <c r="AD206" s="28"/>
      <c r="AG206" s="29"/>
      <c r="AH206" s="29"/>
      <c r="AI206" s="29"/>
      <c r="AJ206" s="26"/>
    </row>
    <row r="207" spans="5:36" s="27" customFormat="1" ht="15" customHeight="1">
      <c r="E207" s="28"/>
      <c r="F207" s="28"/>
      <c r="G207" s="28"/>
      <c r="H207" s="28"/>
      <c r="I207" s="28"/>
      <c r="L207" s="29"/>
      <c r="M207" s="29"/>
      <c r="N207" s="29"/>
      <c r="O207" s="28"/>
      <c r="P207" s="28"/>
      <c r="S207" s="29"/>
      <c r="T207" s="29"/>
      <c r="U207" s="29"/>
      <c r="V207" s="28"/>
      <c r="W207" s="28"/>
      <c r="Z207" s="29"/>
      <c r="AA207" s="29"/>
      <c r="AB207" s="29"/>
      <c r="AC207" s="28"/>
      <c r="AD207" s="28"/>
      <c r="AG207" s="29"/>
      <c r="AH207" s="29"/>
      <c r="AI207" s="29"/>
      <c r="AJ207" s="26"/>
    </row>
    <row r="208" spans="5:36" s="27" customFormat="1" ht="15" customHeight="1">
      <c r="E208" s="28"/>
      <c r="F208" s="28"/>
      <c r="G208" s="28"/>
      <c r="H208" s="28"/>
      <c r="I208" s="28"/>
      <c r="L208" s="29"/>
      <c r="M208" s="29"/>
      <c r="N208" s="29"/>
      <c r="O208" s="28"/>
      <c r="P208" s="28"/>
      <c r="S208" s="29"/>
      <c r="T208" s="29"/>
      <c r="U208" s="29"/>
      <c r="V208" s="28"/>
      <c r="W208" s="28"/>
      <c r="Z208" s="29"/>
      <c r="AA208" s="29"/>
      <c r="AB208" s="29"/>
      <c r="AC208" s="28"/>
      <c r="AD208" s="28"/>
      <c r="AG208" s="29"/>
      <c r="AH208" s="29"/>
      <c r="AI208" s="29"/>
      <c r="AJ208" s="26"/>
    </row>
    <row r="209" spans="5:36" s="27" customFormat="1" ht="15" customHeight="1">
      <c r="E209" s="28"/>
      <c r="F209" s="28"/>
      <c r="G209" s="28"/>
      <c r="H209" s="28"/>
      <c r="I209" s="28"/>
      <c r="L209" s="29"/>
      <c r="M209" s="29"/>
      <c r="N209" s="29"/>
      <c r="O209" s="28"/>
      <c r="P209" s="28"/>
      <c r="S209" s="29"/>
      <c r="T209" s="29"/>
      <c r="U209" s="29"/>
      <c r="V209" s="28"/>
      <c r="W209" s="28"/>
      <c r="Z209" s="29"/>
      <c r="AA209" s="29"/>
      <c r="AB209" s="29"/>
      <c r="AC209" s="28"/>
      <c r="AD209" s="28"/>
      <c r="AG209" s="29"/>
      <c r="AH209" s="29"/>
      <c r="AI209" s="29"/>
      <c r="AJ209" s="26"/>
    </row>
    <row r="210" spans="5:36" s="27" customFormat="1" ht="15" customHeight="1">
      <c r="E210" s="28"/>
      <c r="F210" s="28"/>
      <c r="G210" s="28"/>
      <c r="H210" s="28"/>
      <c r="I210" s="28"/>
      <c r="L210" s="29"/>
      <c r="M210" s="29"/>
      <c r="N210" s="29"/>
      <c r="O210" s="28"/>
      <c r="P210" s="28"/>
      <c r="S210" s="29"/>
      <c r="T210" s="29"/>
      <c r="U210" s="29"/>
      <c r="V210" s="28"/>
      <c r="W210" s="28"/>
      <c r="Z210" s="29"/>
      <c r="AA210" s="29"/>
      <c r="AB210" s="29"/>
      <c r="AC210" s="28"/>
      <c r="AD210" s="28"/>
      <c r="AG210" s="29"/>
      <c r="AH210" s="29"/>
      <c r="AI210" s="29"/>
      <c r="AJ210" s="26"/>
    </row>
    <row r="211" spans="5:36" s="27" customFormat="1" ht="15" customHeight="1">
      <c r="E211" s="28"/>
      <c r="F211" s="28"/>
      <c r="G211" s="28"/>
      <c r="H211" s="28"/>
      <c r="I211" s="28"/>
      <c r="L211" s="29"/>
      <c r="M211" s="29"/>
      <c r="N211" s="29"/>
      <c r="O211" s="28"/>
      <c r="P211" s="28"/>
      <c r="S211" s="29"/>
      <c r="T211" s="29"/>
      <c r="U211" s="29"/>
      <c r="V211" s="28"/>
      <c r="W211" s="28"/>
      <c r="Z211" s="29"/>
      <c r="AA211" s="29"/>
      <c r="AB211" s="29"/>
      <c r="AC211" s="28"/>
      <c r="AD211" s="28"/>
      <c r="AG211" s="29"/>
      <c r="AH211" s="29"/>
      <c r="AI211" s="29"/>
      <c r="AJ211" s="26"/>
    </row>
    <row r="212" spans="5:36" s="27" customFormat="1" ht="15" customHeight="1">
      <c r="E212" s="28"/>
      <c r="F212" s="28"/>
      <c r="G212" s="28"/>
      <c r="H212" s="28"/>
      <c r="I212" s="28"/>
      <c r="L212" s="29"/>
      <c r="M212" s="29"/>
      <c r="N212" s="29"/>
      <c r="O212" s="28"/>
      <c r="P212" s="28"/>
      <c r="S212" s="29"/>
      <c r="T212" s="29"/>
      <c r="U212" s="29"/>
      <c r="V212" s="28"/>
      <c r="W212" s="28"/>
      <c r="Z212" s="29"/>
      <c r="AA212" s="29"/>
      <c r="AB212" s="29"/>
      <c r="AC212" s="28"/>
      <c r="AD212" s="28"/>
      <c r="AG212" s="29"/>
      <c r="AH212" s="29"/>
      <c r="AI212" s="29"/>
      <c r="AJ212" s="26"/>
    </row>
    <row r="213" spans="5:36" s="27" customFormat="1" ht="15" customHeight="1">
      <c r="E213" s="28"/>
      <c r="F213" s="28"/>
      <c r="G213" s="28"/>
      <c r="H213" s="28"/>
      <c r="I213" s="28"/>
      <c r="L213" s="29"/>
      <c r="M213" s="29"/>
      <c r="N213" s="29"/>
      <c r="O213" s="28"/>
      <c r="P213" s="28"/>
      <c r="S213" s="29"/>
      <c r="T213" s="29"/>
      <c r="U213" s="29"/>
      <c r="V213" s="28"/>
      <c r="W213" s="28"/>
      <c r="Z213" s="29"/>
      <c r="AA213" s="29"/>
      <c r="AB213" s="29"/>
      <c r="AC213" s="28"/>
      <c r="AD213" s="28"/>
      <c r="AG213" s="29"/>
      <c r="AH213" s="29"/>
      <c r="AI213" s="29"/>
      <c r="AJ213" s="26"/>
    </row>
    <row r="214" spans="5:36" s="27" customFormat="1" ht="15" customHeight="1">
      <c r="E214" s="28"/>
      <c r="F214" s="28"/>
      <c r="G214" s="28"/>
      <c r="H214" s="28"/>
      <c r="I214" s="28"/>
      <c r="L214" s="29"/>
      <c r="M214" s="29"/>
      <c r="N214" s="29"/>
      <c r="O214" s="28"/>
      <c r="P214" s="28"/>
      <c r="S214" s="29"/>
      <c r="T214" s="29"/>
      <c r="U214" s="29"/>
      <c r="V214" s="28"/>
      <c r="W214" s="28"/>
      <c r="Z214" s="29"/>
      <c r="AA214" s="29"/>
      <c r="AB214" s="29"/>
      <c r="AC214" s="28"/>
      <c r="AD214" s="28"/>
      <c r="AG214" s="29"/>
      <c r="AH214" s="29"/>
      <c r="AI214" s="29"/>
      <c r="AJ214" s="26"/>
    </row>
    <row r="215" spans="5:36" s="27" customFormat="1" ht="15" customHeight="1">
      <c r="E215" s="28"/>
      <c r="F215" s="28"/>
      <c r="G215" s="28"/>
      <c r="H215" s="28"/>
      <c r="I215" s="28"/>
      <c r="L215" s="29"/>
      <c r="M215" s="29"/>
      <c r="N215" s="29"/>
      <c r="O215" s="28"/>
      <c r="P215" s="28"/>
      <c r="S215" s="29"/>
      <c r="T215" s="29"/>
      <c r="U215" s="29"/>
      <c r="V215" s="28"/>
      <c r="W215" s="28"/>
      <c r="Z215" s="29"/>
      <c r="AA215" s="29"/>
      <c r="AB215" s="29"/>
      <c r="AC215" s="28"/>
      <c r="AD215" s="28"/>
      <c r="AG215" s="29"/>
      <c r="AH215" s="29"/>
      <c r="AI215" s="29"/>
      <c r="AJ215" s="26"/>
    </row>
    <row r="216" spans="5:36" s="27" customFormat="1" ht="15" customHeight="1">
      <c r="E216" s="28"/>
      <c r="F216" s="28"/>
      <c r="G216" s="28"/>
      <c r="H216" s="28"/>
      <c r="I216" s="28"/>
      <c r="L216" s="29"/>
      <c r="M216" s="29"/>
      <c r="N216" s="29"/>
      <c r="O216" s="28"/>
      <c r="P216" s="28"/>
      <c r="S216" s="29"/>
      <c r="T216" s="29"/>
      <c r="U216" s="29"/>
      <c r="V216" s="28"/>
      <c r="W216" s="28"/>
      <c r="Z216" s="29"/>
      <c r="AA216" s="29"/>
      <c r="AB216" s="29"/>
      <c r="AC216" s="28"/>
      <c r="AD216" s="28"/>
      <c r="AG216" s="29"/>
      <c r="AH216" s="29"/>
      <c r="AI216" s="29"/>
      <c r="AJ216" s="26"/>
    </row>
    <row r="217" spans="5:36" s="27" customFormat="1" ht="15" customHeight="1">
      <c r="E217" s="28"/>
      <c r="F217" s="28"/>
      <c r="G217" s="28"/>
      <c r="H217" s="28"/>
      <c r="I217" s="28"/>
      <c r="L217" s="29"/>
      <c r="M217" s="29"/>
      <c r="N217" s="29"/>
      <c r="O217" s="28"/>
      <c r="P217" s="28"/>
      <c r="S217" s="29"/>
      <c r="T217" s="29"/>
      <c r="U217" s="29"/>
      <c r="V217" s="28"/>
      <c r="W217" s="28"/>
      <c r="Z217" s="29"/>
      <c r="AA217" s="29"/>
      <c r="AB217" s="29"/>
      <c r="AC217" s="28"/>
      <c r="AD217" s="28"/>
      <c r="AG217" s="29"/>
      <c r="AH217" s="29"/>
      <c r="AI217" s="29"/>
      <c r="AJ217" s="26"/>
    </row>
    <row r="218" spans="5:36" s="27" customFormat="1" ht="15" customHeight="1">
      <c r="E218" s="28"/>
      <c r="F218" s="28"/>
      <c r="G218" s="28"/>
      <c r="H218" s="28"/>
      <c r="I218" s="28"/>
      <c r="L218" s="29"/>
      <c r="M218" s="29"/>
      <c r="N218" s="29"/>
      <c r="O218" s="28"/>
      <c r="P218" s="28"/>
      <c r="S218" s="29"/>
      <c r="T218" s="29"/>
      <c r="U218" s="29"/>
      <c r="V218" s="28"/>
      <c r="W218" s="28"/>
      <c r="Z218" s="29"/>
      <c r="AA218" s="29"/>
      <c r="AB218" s="29"/>
      <c r="AC218" s="28"/>
      <c r="AD218" s="28"/>
      <c r="AG218" s="29"/>
      <c r="AH218" s="29"/>
      <c r="AI218" s="29"/>
      <c r="AJ218" s="26"/>
    </row>
    <row r="219" spans="5:36" s="27" customFormat="1" ht="15" customHeight="1">
      <c r="E219" s="28"/>
      <c r="F219" s="28"/>
      <c r="G219" s="28"/>
      <c r="H219" s="28"/>
      <c r="I219" s="28"/>
      <c r="L219" s="29"/>
      <c r="M219" s="29"/>
      <c r="N219" s="29"/>
      <c r="O219" s="28"/>
      <c r="P219" s="28"/>
      <c r="S219" s="29"/>
      <c r="T219" s="29"/>
      <c r="U219" s="29"/>
      <c r="V219" s="28"/>
      <c r="W219" s="28"/>
      <c r="Z219" s="29"/>
      <c r="AA219" s="29"/>
      <c r="AB219" s="29"/>
      <c r="AC219" s="28"/>
      <c r="AD219" s="28"/>
      <c r="AG219" s="29"/>
      <c r="AH219" s="29"/>
      <c r="AI219" s="29"/>
      <c r="AJ219" s="26"/>
    </row>
    <row r="220" spans="5:36" s="27" customFormat="1" ht="15" customHeight="1">
      <c r="E220" s="28"/>
      <c r="F220" s="28"/>
      <c r="G220" s="28"/>
      <c r="H220" s="28"/>
      <c r="I220" s="28"/>
      <c r="L220" s="29"/>
      <c r="M220" s="29"/>
      <c r="N220" s="29"/>
      <c r="O220" s="28"/>
      <c r="P220" s="28"/>
      <c r="S220" s="29"/>
      <c r="T220" s="29"/>
      <c r="U220" s="29"/>
      <c r="V220" s="28"/>
      <c r="W220" s="28"/>
      <c r="Z220" s="29"/>
      <c r="AA220" s="29"/>
      <c r="AB220" s="29"/>
      <c r="AC220" s="28"/>
      <c r="AD220" s="28"/>
      <c r="AG220" s="29"/>
      <c r="AH220" s="29"/>
      <c r="AI220" s="29"/>
      <c r="AJ220" s="26"/>
    </row>
    <row r="221" spans="5:36" s="27" customFormat="1" ht="15" customHeight="1">
      <c r="E221" s="28"/>
      <c r="F221" s="28"/>
      <c r="G221" s="28"/>
      <c r="H221" s="28"/>
      <c r="I221" s="28"/>
      <c r="L221" s="29"/>
      <c r="M221" s="29"/>
      <c r="N221" s="29"/>
      <c r="O221" s="28"/>
      <c r="P221" s="28"/>
      <c r="S221" s="29"/>
      <c r="T221" s="29"/>
      <c r="U221" s="29"/>
      <c r="V221" s="28"/>
      <c r="W221" s="28"/>
      <c r="Z221" s="29"/>
      <c r="AA221" s="29"/>
      <c r="AB221" s="29"/>
      <c r="AC221" s="28"/>
      <c r="AD221" s="28"/>
      <c r="AG221" s="29"/>
      <c r="AH221" s="29"/>
      <c r="AI221" s="29"/>
      <c r="AJ221" s="26"/>
    </row>
    <row r="222" spans="5:36" s="27" customFormat="1" ht="15" customHeight="1">
      <c r="E222" s="28"/>
      <c r="F222" s="28"/>
      <c r="G222" s="28"/>
      <c r="H222" s="28"/>
      <c r="I222" s="28"/>
      <c r="L222" s="29"/>
      <c r="M222" s="29"/>
      <c r="N222" s="29"/>
      <c r="O222" s="28"/>
      <c r="P222" s="28"/>
      <c r="S222" s="29"/>
      <c r="T222" s="29"/>
      <c r="U222" s="29"/>
      <c r="V222" s="28"/>
      <c r="W222" s="28"/>
      <c r="Z222" s="29"/>
      <c r="AA222" s="29"/>
      <c r="AB222" s="29"/>
      <c r="AC222" s="28"/>
      <c r="AD222" s="28"/>
      <c r="AG222" s="29"/>
      <c r="AH222" s="29"/>
      <c r="AI222" s="29"/>
      <c r="AJ222" s="26"/>
    </row>
    <row r="223" spans="5:36" s="27" customFormat="1" ht="15" customHeight="1">
      <c r="E223" s="28"/>
      <c r="F223" s="28"/>
      <c r="G223" s="28"/>
      <c r="H223" s="28"/>
      <c r="I223" s="28"/>
      <c r="L223" s="29"/>
      <c r="M223" s="29"/>
      <c r="N223" s="29"/>
      <c r="O223" s="28"/>
      <c r="P223" s="28"/>
      <c r="S223" s="29"/>
      <c r="T223" s="29"/>
      <c r="U223" s="29"/>
      <c r="V223" s="28"/>
      <c r="W223" s="28"/>
      <c r="Z223" s="29"/>
      <c r="AA223" s="29"/>
      <c r="AB223" s="29"/>
      <c r="AC223" s="28"/>
      <c r="AD223" s="28"/>
      <c r="AG223" s="29"/>
      <c r="AH223" s="29"/>
      <c r="AI223" s="29"/>
      <c r="AJ223" s="26"/>
    </row>
    <row r="224" spans="5:36" s="27" customFormat="1" ht="15" customHeight="1">
      <c r="E224" s="28"/>
      <c r="F224" s="28"/>
      <c r="G224" s="28"/>
      <c r="H224" s="28"/>
      <c r="I224" s="28"/>
      <c r="L224" s="29"/>
      <c r="M224" s="29"/>
      <c r="N224" s="29"/>
      <c r="O224" s="28"/>
      <c r="P224" s="28"/>
      <c r="S224" s="29"/>
      <c r="T224" s="29"/>
      <c r="U224" s="29"/>
      <c r="V224" s="28"/>
      <c r="W224" s="28"/>
      <c r="Z224" s="29"/>
      <c r="AA224" s="29"/>
      <c r="AB224" s="29"/>
      <c r="AC224" s="28"/>
      <c r="AD224" s="28"/>
      <c r="AG224" s="29"/>
      <c r="AH224" s="29"/>
      <c r="AI224" s="29"/>
      <c r="AJ224" s="26"/>
    </row>
    <row r="225" spans="5:36" s="27" customFormat="1" ht="15" customHeight="1">
      <c r="E225" s="28"/>
      <c r="F225" s="28"/>
      <c r="G225" s="28"/>
      <c r="H225" s="28"/>
      <c r="I225" s="28"/>
      <c r="L225" s="29"/>
      <c r="M225" s="29"/>
      <c r="N225" s="29"/>
      <c r="O225" s="28"/>
      <c r="P225" s="28"/>
      <c r="S225" s="29"/>
      <c r="T225" s="29"/>
      <c r="U225" s="29"/>
      <c r="V225" s="28"/>
      <c r="W225" s="28"/>
      <c r="Z225" s="29"/>
      <c r="AA225" s="29"/>
      <c r="AB225" s="29"/>
      <c r="AC225" s="28"/>
      <c r="AD225" s="28"/>
      <c r="AG225" s="29"/>
      <c r="AH225" s="29"/>
      <c r="AI225" s="29"/>
      <c r="AJ225" s="26"/>
    </row>
    <row r="226" spans="5:36" s="27" customFormat="1" ht="15" customHeight="1">
      <c r="E226" s="28"/>
      <c r="F226" s="28"/>
      <c r="G226" s="28"/>
      <c r="H226" s="28"/>
      <c r="I226" s="28"/>
      <c r="L226" s="29"/>
      <c r="M226" s="29"/>
      <c r="N226" s="29"/>
      <c r="O226" s="28"/>
      <c r="P226" s="28"/>
      <c r="S226" s="29"/>
      <c r="T226" s="29"/>
      <c r="U226" s="29"/>
      <c r="V226" s="28"/>
      <c r="W226" s="28"/>
      <c r="Z226" s="29"/>
      <c r="AA226" s="29"/>
      <c r="AB226" s="29"/>
      <c r="AC226" s="28"/>
      <c r="AD226" s="28"/>
      <c r="AG226" s="29"/>
      <c r="AH226" s="29"/>
      <c r="AI226" s="29"/>
      <c r="AJ226" s="26"/>
    </row>
    <row r="227" spans="5:36" s="27" customFormat="1" ht="15" customHeight="1">
      <c r="E227" s="28"/>
      <c r="F227" s="28"/>
      <c r="G227" s="28"/>
      <c r="H227" s="28"/>
      <c r="I227" s="28"/>
      <c r="L227" s="29"/>
      <c r="M227" s="29"/>
      <c r="N227" s="29"/>
      <c r="O227" s="28"/>
      <c r="P227" s="28"/>
      <c r="S227" s="29"/>
      <c r="T227" s="29"/>
      <c r="U227" s="29"/>
      <c r="V227" s="28"/>
      <c r="W227" s="28"/>
      <c r="Z227" s="29"/>
      <c r="AA227" s="29"/>
      <c r="AB227" s="29"/>
      <c r="AC227" s="28"/>
      <c r="AD227" s="28"/>
      <c r="AG227" s="29"/>
      <c r="AH227" s="29"/>
      <c r="AI227" s="29"/>
      <c r="AJ227" s="26"/>
    </row>
    <row r="228" spans="5:36" s="27" customFormat="1" ht="15" customHeight="1">
      <c r="E228" s="28"/>
      <c r="F228" s="28"/>
      <c r="G228" s="28"/>
      <c r="H228" s="28"/>
      <c r="I228" s="28"/>
      <c r="L228" s="29"/>
      <c r="M228" s="29"/>
      <c r="N228" s="29"/>
      <c r="O228" s="28"/>
      <c r="P228" s="28"/>
      <c r="S228" s="29"/>
      <c r="T228" s="29"/>
      <c r="U228" s="29"/>
      <c r="V228" s="28"/>
      <c r="W228" s="28"/>
      <c r="Z228" s="29"/>
      <c r="AA228" s="29"/>
      <c r="AB228" s="29"/>
      <c r="AC228" s="28"/>
      <c r="AD228" s="28"/>
      <c r="AG228" s="29"/>
      <c r="AH228" s="29"/>
      <c r="AI228" s="29"/>
      <c r="AJ228" s="26"/>
    </row>
    <row r="229" spans="5:36" s="27" customFormat="1" ht="15" customHeight="1">
      <c r="E229" s="28"/>
      <c r="F229" s="28"/>
      <c r="G229" s="28"/>
      <c r="H229" s="28"/>
      <c r="I229" s="28"/>
      <c r="L229" s="29"/>
      <c r="M229" s="29"/>
      <c r="N229" s="29"/>
      <c r="O229" s="28"/>
      <c r="P229" s="28"/>
      <c r="S229" s="29"/>
      <c r="T229" s="29"/>
      <c r="U229" s="29"/>
      <c r="V229" s="28"/>
      <c r="W229" s="28"/>
      <c r="Z229" s="29"/>
      <c r="AA229" s="29"/>
      <c r="AB229" s="29"/>
      <c r="AC229" s="28"/>
      <c r="AD229" s="28"/>
      <c r="AG229" s="29"/>
      <c r="AH229" s="29"/>
      <c r="AI229" s="29"/>
      <c r="AJ229" s="26"/>
    </row>
    <row r="230" spans="5:36" s="27" customFormat="1" ht="15" customHeight="1">
      <c r="E230" s="28"/>
      <c r="F230" s="28"/>
      <c r="G230" s="28"/>
      <c r="H230" s="28"/>
      <c r="I230" s="28"/>
      <c r="L230" s="29"/>
      <c r="M230" s="29"/>
      <c r="N230" s="29"/>
      <c r="O230" s="28"/>
      <c r="P230" s="28"/>
      <c r="S230" s="29"/>
      <c r="T230" s="29"/>
      <c r="U230" s="29"/>
      <c r="V230" s="28"/>
      <c r="W230" s="28"/>
      <c r="Z230" s="29"/>
      <c r="AA230" s="29"/>
      <c r="AB230" s="29"/>
      <c r="AC230" s="28"/>
      <c r="AD230" s="28"/>
      <c r="AG230" s="29"/>
      <c r="AH230" s="29"/>
      <c r="AI230" s="29"/>
      <c r="AJ230" s="26"/>
    </row>
    <row r="231" spans="5:36" s="27" customFormat="1" ht="15" customHeight="1">
      <c r="E231" s="28"/>
      <c r="F231" s="28"/>
      <c r="G231" s="28"/>
      <c r="H231" s="28"/>
      <c r="I231" s="28"/>
      <c r="L231" s="29"/>
      <c r="M231" s="29"/>
      <c r="N231" s="29"/>
      <c r="O231" s="28"/>
      <c r="P231" s="28"/>
      <c r="S231" s="29"/>
      <c r="T231" s="29"/>
      <c r="U231" s="29"/>
      <c r="V231" s="28"/>
      <c r="W231" s="28"/>
      <c r="Z231" s="29"/>
      <c r="AA231" s="29"/>
      <c r="AB231" s="29"/>
      <c r="AC231" s="28"/>
      <c r="AD231" s="28"/>
      <c r="AG231" s="29"/>
      <c r="AH231" s="29"/>
      <c r="AI231" s="29"/>
      <c r="AJ231" s="26"/>
    </row>
    <row r="232" spans="5:36" s="27" customFormat="1" ht="15" customHeight="1">
      <c r="E232" s="28"/>
      <c r="F232" s="28"/>
      <c r="G232" s="28"/>
      <c r="H232" s="28"/>
      <c r="I232" s="28"/>
      <c r="L232" s="29"/>
      <c r="M232" s="29"/>
      <c r="N232" s="29"/>
      <c r="O232" s="28"/>
      <c r="P232" s="28"/>
      <c r="S232" s="29"/>
      <c r="T232" s="29"/>
      <c r="U232" s="29"/>
      <c r="V232" s="28"/>
      <c r="W232" s="28"/>
      <c r="Z232" s="29"/>
      <c r="AA232" s="29"/>
      <c r="AB232" s="29"/>
      <c r="AC232" s="28"/>
      <c r="AD232" s="28"/>
      <c r="AG232" s="29"/>
      <c r="AH232" s="29"/>
      <c r="AI232" s="29"/>
      <c r="AJ232" s="26"/>
    </row>
    <row r="233" spans="5:36" s="27" customFormat="1" ht="15" customHeight="1">
      <c r="E233" s="28"/>
      <c r="F233" s="28"/>
      <c r="G233" s="28"/>
      <c r="H233" s="28"/>
      <c r="I233" s="28"/>
      <c r="L233" s="29"/>
      <c r="M233" s="29"/>
      <c r="N233" s="29"/>
      <c r="O233" s="28"/>
      <c r="P233" s="28"/>
      <c r="S233" s="29"/>
      <c r="T233" s="29"/>
      <c r="U233" s="29"/>
      <c r="V233" s="28"/>
      <c r="W233" s="28"/>
      <c r="Z233" s="29"/>
      <c r="AA233" s="29"/>
      <c r="AB233" s="29"/>
      <c r="AC233" s="28"/>
      <c r="AD233" s="28"/>
      <c r="AG233" s="29"/>
      <c r="AH233" s="29"/>
      <c r="AI233" s="29"/>
      <c r="AJ233" s="26"/>
    </row>
    <row r="234" spans="5:36" s="27" customFormat="1" ht="15" customHeight="1">
      <c r="E234" s="28"/>
      <c r="F234" s="28"/>
      <c r="G234" s="28"/>
      <c r="H234" s="28"/>
      <c r="I234" s="28"/>
      <c r="L234" s="29"/>
      <c r="M234" s="29"/>
      <c r="N234" s="29"/>
      <c r="O234" s="28"/>
      <c r="P234" s="28"/>
      <c r="S234" s="29"/>
      <c r="T234" s="29"/>
      <c r="U234" s="29"/>
      <c r="V234" s="28"/>
      <c r="W234" s="28"/>
      <c r="Z234" s="29"/>
      <c r="AA234" s="29"/>
      <c r="AB234" s="29"/>
      <c r="AC234" s="28"/>
      <c r="AD234" s="28"/>
      <c r="AG234" s="29"/>
      <c r="AH234" s="29"/>
      <c r="AI234" s="29"/>
      <c r="AJ234" s="26"/>
    </row>
    <row r="235" spans="5:36" s="27" customFormat="1" ht="15" customHeight="1">
      <c r="E235" s="28"/>
      <c r="F235" s="28"/>
      <c r="G235" s="28"/>
      <c r="H235" s="28"/>
      <c r="I235" s="28"/>
      <c r="L235" s="29"/>
      <c r="M235" s="29"/>
      <c r="N235" s="29"/>
      <c r="O235" s="28"/>
      <c r="P235" s="28"/>
      <c r="S235" s="29"/>
      <c r="T235" s="29"/>
      <c r="U235" s="29"/>
      <c r="V235" s="28"/>
      <c r="W235" s="28"/>
      <c r="Z235" s="29"/>
      <c r="AA235" s="29"/>
      <c r="AB235" s="29"/>
      <c r="AC235" s="28"/>
      <c r="AD235" s="28"/>
      <c r="AG235" s="29"/>
      <c r="AH235" s="29"/>
      <c r="AI235" s="29"/>
      <c r="AJ235" s="26"/>
    </row>
    <row r="236" spans="5:36" s="27" customFormat="1" ht="15" customHeight="1">
      <c r="E236" s="28"/>
      <c r="F236" s="28"/>
      <c r="G236" s="28"/>
      <c r="H236" s="28"/>
      <c r="I236" s="28"/>
      <c r="L236" s="29"/>
      <c r="M236" s="29"/>
      <c r="N236" s="29"/>
      <c r="O236" s="28"/>
      <c r="P236" s="28"/>
      <c r="S236" s="29"/>
      <c r="T236" s="29"/>
      <c r="U236" s="29"/>
      <c r="V236" s="28"/>
      <c r="W236" s="28"/>
      <c r="Z236" s="29"/>
      <c r="AA236" s="29"/>
      <c r="AB236" s="29"/>
      <c r="AC236" s="28"/>
      <c r="AD236" s="28"/>
      <c r="AG236" s="29"/>
      <c r="AH236" s="29"/>
      <c r="AI236" s="29"/>
      <c r="AJ236" s="26"/>
    </row>
    <row r="237" spans="5:36" s="27" customFormat="1" ht="15" customHeight="1">
      <c r="E237" s="28"/>
      <c r="F237" s="28"/>
      <c r="G237" s="28"/>
      <c r="H237" s="28"/>
      <c r="I237" s="28"/>
      <c r="L237" s="29"/>
      <c r="M237" s="29"/>
      <c r="N237" s="29"/>
      <c r="O237" s="28"/>
      <c r="P237" s="28"/>
      <c r="S237" s="29"/>
      <c r="T237" s="29"/>
      <c r="U237" s="29"/>
      <c r="V237" s="28"/>
      <c r="W237" s="28"/>
      <c r="Z237" s="29"/>
      <c r="AA237" s="29"/>
      <c r="AB237" s="29"/>
      <c r="AC237" s="28"/>
      <c r="AD237" s="28"/>
      <c r="AG237" s="29"/>
      <c r="AH237" s="29"/>
      <c r="AI237" s="29"/>
      <c r="AJ237" s="26"/>
    </row>
    <row r="238" spans="5:36" s="27" customFormat="1" ht="15" customHeight="1">
      <c r="E238" s="28"/>
      <c r="F238" s="28"/>
      <c r="G238" s="28"/>
      <c r="H238" s="28"/>
      <c r="I238" s="28"/>
      <c r="L238" s="29"/>
      <c r="M238" s="29"/>
      <c r="N238" s="29"/>
      <c r="O238" s="28"/>
      <c r="P238" s="28"/>
      <c r="S238" s="29"/>
      <c r="T238" s="29"/>
      <c r="U238" s="29"/>
      <c r="V238" s="28"/>
      <c r="W238" s="28"/>
      <c r="Z238" s="29"/>
      <c r="AA238" s="29"/>
      <c r="AB238" s="29"/>
      <c r="AC238" s="28"/>
      <c r="AD238" s="28"/>
      <c r="AG238" s="29"/>
      <c r="AH238" s="29"/>
      <c r="AI238" s="29"/>
      <c r="AJ238" s="26"/>
    </row>
    <row r="239" spans="5:36" s="27" customFormat="1" ht="15" customHeight="1">
      <c r="E239" s="28"/>
      <c r="F239" s="28"/>
      <c r="G239" s="28"/>
      <c r="H239" s="28"/>
      <c r="I239" s="28"/>
      <c r="L239" s="29"/>
      <c r="M239" s="29"/>
      <c r="N239" s="29"/>
      <c r="O239" s="28"/>
      <c r="P239" s="28"/>
      <c r="S239" s="29"/>
      <c r="T239" s="29"/>
      <c r="U239" s="29"/>
      <c r="V239" s="28"/>
      <c r="W239" s="28"/>
      <c r="Z239" s="29"/>
      <c r="AA239" s="29"/>
      <c r="AB239" s="29"/>
      <c r="AC239" s="28"/>
      <c r="AD239" s="28"/>
      <c r="AG239" s="29"/>
      <c r="AH239" s="29"/>
      <c r="AI239" s="29"/>
      <c r="AJ239" s="26"/>
    </row>
    <row r="240" spans="5:36" s="27" customFormat="1" ht="15" customHeight="1">
      <c r="E240" s="28"/>
      <c r="F240" s="28"/>
      <c r="G240" s="28"/>
      <c r="H240" s="28"/>
      <c r="I240" s="28"/>
      <c r="L240" s="29"/>
      <c r="M240" s="29"/>
      <c r="N240" s="29"/>
      <c r="O240" s="28"/>
      <c r="P240" s="28"/>
      <c r="S240" s="29"/>
      <c r="T240" s="29"/>
      <c r="U240" s="29"/>
      <c r="V240" s="28"/>
      <c r="W240" s="28"/>
      <c r="Z240" s="29"/>
      <c r="AA240" s="29"/>
      <c r="AB240" s="29"/>
      <c r="AC240" s="28"/>
      <c r="AD240" s="28"/>
      <c r="AG240" s="29"/>
      <c r="AH240" s="29"/>
      <c r="AI240" s="29"/>
      <c r="AJ240" s="26"/>
    </row>
    <row r="241" spans="5:36" s="27" customFormat="1" ht="15" customHeight="1">
      <c r="E241" s="28"/>
      <c r="F241" s="28"/>
      <c r="G241" s="28"/>
      <c r="H241" s="28"/>
      <c r="I241" s="28"/>
      <c r="L241" s="29"/>
      <c r="M241" s="29"/>
      <c r="N241" s="29"/>
      <c r="O241" s="28"/>
      <c r="P241" s="28"/>
      <c r="S241" s="29"/>
      <c r="T241" s="29"/>
      <c r="U241" s="29"/>
      <c r="V241" s="28"/>
      <c r="W241" s="28"/>
      <c r="Z241" s="29"/>
      <c r="AA241" s="29"/>
      <c r="AB241" s="29"/>
      <c r="AC241" s="28"/>
      <c r="AD241" s="28"/>
      <c r="AG241" s="29"/>
      <c r="AH241" s="29"/>
      <c r="AI241" s="29"/>
      <c r="AJ241" s="26"/>
    </row>
    <row r="242" spans="5:36" s="27" customFormat="1" ht="15" customHeight="1">
      <c r="E242" s="28"/>
      <c r="F242" s="28"/>
      <c r="G242" s="28"/>
      <c r="H242" s="28"/>
      <c r="I242" s="28"/>
      <c r="L242" s="29"/>
      <c r="M242" s="29"/>
      <c r="N242" s="29"/>
      <c r="O242" s="28"/>
      <c r="P242" s="28"/>
      <c r="S242" s="29"/>
      <c r="T242" s="29"/>
      <c r="U242" s="29"/>
      <c r="V242" s="28"/>
      <c r="W242" s="28"/>
      <c r="Z242" s="29"/>
      <c r="AA242" s="29"/>
      <c r="AB242" s="29"/>
      <c r="AC242" s="28"/>
      <c r="AD242" s="28"/>
      <c r="AG242" s="29"/>
      <c r="AH242" s="29"/>
      <c r="AI242" s="29"/>
      <c r="AJ242" s="26"/>
    </row>
    <row r="243" spans="5:36" s="27" customFormat="1" ht="15" customHeight="1">
      <c r="E243" s="28"/>
      <c r="F243" s="28"/>
      <c r="G243" s="28"/>
      <c r="H243" s="28"/>
      <c r="I243" s="28"/>
      <c r="L243" s="29"/>
      <c r="M243" s="29"/>
      <c r="N243" s="29"/>
      <c r="O243" s="28"/>
      <c r="P243" s="28"/>
      <c r="S243" s="29"/>
      <c r="T243" s="29"/>
      <c r="U243" s="29"/>
      <c r="V243" s="28"/>
      <c r="W243" s="28"/>
      <c r="Z243" s="29"/>
      <c r="AA243" s="29"/>
      <c r="AB243" s="29"/>
      <c r="AC243" s="28"/>
      <c r="AD243" s="28"/>
      <c r="AG243" s="29"/>
      <c r="AH243" s="29"/>
      <c r="AI243" s="29"/>
      <c r="AJ243" s="26"/>
    </row>
    <row r="244" spans="5:36" s="27" customFormat="1" ht="15" customHeight="1">
      <c r="E244" s="28"/>
      <c r="F244" s="28"/>
      <c r="G244" s="28"/>
      <c r="H244" s="28"/>
      <c r="I244" s="28"/>
      <c r="L244" s="29"/>
      <c r="M244" s="29"/>
      <c r="N244" s="29"/>
      <c r="O244" s="28"/>
      <c r="P244" s="28"/>
      <c r="S244" s="29"/>
      <c r="T244" s="29"/>
      <c r="U244" s="29"/>
      <c r="V244" s="28"/>
      <c r="W244" s="28"/>
      <c r="Z244" s="29"/>
      <c r="AA244" s="29"/>
      <c r="AB244" s="29"/>
      <c r="AC244" s="28"/>
      <c r="AD244" s="28"/>
      <c r="AG244" s="29"/>
      <c r="AH244" s="29"/>
      <c r="AI244" s="29"/>
      <c r="AJ244" s="26"/>
    </row>
    <row r="245" spans="5:36" s="27" customFormat="1" ht="15" customHeight="1">
      <c r="E245" s="28"/>
      <c r="F245" s="28"/>
      <c r="G245" s="28"/>
      <c r="H245" s="28"/>
      <c r="I245" s="28"/>
      <c r="L245" s="29"/>
      <c r="M245" s="29"/>
      <c r="N245" s="29"/>
      <c r="O245" s="28"/>
      <c r="P245" s="28"/>
      <c r="S245" s="29"/>
      <c r="T245" s="29"/>
      <c r="U245" s="29"/>
      <c r="V245" s="28"/>
      <c r="W245" s="28"/>
      <c r="Z245" s="29"/>
      <c r="AA245" s="29"/>
      <c r="AB245" s="29"/>
      <c r="AC245" s="28"/>
      <c r="AD245" s="28"/>
      <c r="AG245" s="29"/>
      <c r="AH245" s="29"/>
      <c r="AI245" s="29"/>
      <c r="AJ245" s="26"/>
    </row>
    <row r="246" spans="5:36" s="27" customFormat="1" ht="15" customHeight="1">
      <c r="E246" s="28"/>
      <c r="F246" s="28"/>
      <c r="G246" s="28"/>
      <c r="H246" s="28"/>
      <c r="I246" s="28"/>
      <c r="L246" s="29"/>
      <c r="M246" s="29"/>
      <c r="N246" s="29"/>
      <c r="O246" s="28"/>
      <c r="P246" s="28"/>
      <c r="S246" s="29"/>
      <c r="T246" s="29"/>
      <c r="U246" s="29"/>
      <c r="V246" s="28"/>
      <c r="W246" s="28"/>
      <c r="Z246" s="29"/>
      <c r="AA246" s="29"/>
      <c r="AB246" s="29"/>
      <c r="AC246" s="28"/>
      <c r="AD246" s="28"/>
      <c r="AG246" s="29"/>
      <c r="AH246" s="29"/>
      <c r="AI246" s="29"/>
      <c r="AJ246" s="26"/>
    </row>
    <row r="247" spans="5:36" s="27" customFormat="1" ht="15" customHeight="1">
      <c r="E247" s="28"/>
      <c r="F247" s="28"/>
      <c r="G247" s="28"/>
      <c r="H247" s="28"/>
      <c r="I247" s="28"/>
      <c r="L247" s="29"/>
      <c r="M247" s="29"/>
      <c r="N247" s="29"/>
      <c r="O247" s="28"/>
      <c r="P247" s="28"/>
      <c r="S247" s="29"/>
      <c r="T247" s="29"/>
      <c r="U247" s="29"/>
      <c r="V247" s="28"/>
      <c r="W247" s="28"/>
      <c r="Z247" s="29"/>
      <c r="AA247" s="29"/>
      <c r="AB247" s="29"/>
      <c r="AC247" s="28"/>
      <c r="AD247" s="28"/>
      <c r="AG247" s="29"/>
      <c r="AH247" s="29"/>
      <c r="AI247" s="29"/>
      <c r="AJ247" s="26"/>
    </row>
    <row r="248" spans="5:36" s="27" customFormat="1" ht="15" customHeight="1">
      <c r="E248" s="28"/>
      <c r="F248" s="28"/>
      <c r="G248" s="28"/>
      <c r="H248" s="28"/>
      <c r="I248" s="28"/>
      <c r="L248" s="29"/>
      <c r="M248" s="29"/>
      <c r="N248" s="29"/>
      <c r="O248" s="28"/>
      <c r="P248" s="28"/>
      <c r="S248" s="29"/>
      <c r="T248" s="29"/>
      <c r="U248" s="29"/>
      <c r="V248" s="28"/>
      <c r="W248" s="28"/>
      <c r="Z248" s="29"/>
      <c r="AA248" s="29"/>
      <c r="AB248" s="29"/>
      <c r="AC248" s="28"/>
      <c r="AD248" s="28"/>
      <c r="AG248" s="29"/>
      <c r="AH248" s="29"/>
      <c r="AI248" s="29"/>
      <c r="AJ248" s="26"/>
    </row>
    <row r="249" spans="5:36" s="27" customFormat="1" ht="15" customHeight="1">
      <c r="E249" s="28"/>
      <c r="F249" s="28"/>
      <c r="G249" s="28"/>
      <c r="H249" s="28"/>
      <c r="I249" s="28"/>
      <c r="L249" s="29"/>
      <c r="M249" s="29"/>
      <c r="N249" s="29"/>
      <c r="O249" s="28"/>
      <c r="P249" s="28"/>
      <c r="S249" s="29"/>
      <c r="T249" s="29"/>
      <c r="U249" s="29"/>
      <c r="V249" s="28"/>
      <c r="W249" s="28"/>
      <c r="Z249" s="29"/>
      <c r="AA249" s="29"/>
      <c r="AB249" s="29"/>
      <c r="AC249" s="28"/>
      <c r="AD249" s="28"/>
      <c r="AG249" s="29"/>
      <c r="AH249" s="29"/>
      <c r="AI249" s="29"/>
      <c r="AJ249" s="26"/>
    </row>
    <row r="250" spans="5:36" s="27" customFormat="1" ht="15" customHeight="1">
      <c r="E250" s="28"/>
      <c r="F250" s="28"/>
      <c r="G250" s="28"/>
      <c r="H250" s="28"/>
      <c r="I250" s="28"/>
      <c r="L250" s="29"/>
      <c r="M250" s="29"/>
      <c r="N250" s="29"/>
      <c r="O250" s="28"/>
      <c r="P250" s="28"/>
      <c r="S250" s="29"/>
      <c r="T250" s="29"/>
      <c r="U250" s="29"/>
      <c r="V250" s="28"/>
      <c r="W250" s="28"/>
      <c r="Z250" s="29"/>
      <c r="AA250" s="29"/>
      <c r="AB250" s="29"/>
      <c r="AC250" s="28"/>
      <c r="AD250" s="28"/>
      <c r="AG250" s="29"/>
      <c r="AH250" s="29"/>
      <c r="AI250" s="29"/>
      <c r="AJ250" s="26"/>
    </row>
    <row r="251" spans="5:36" s="27" customFormat="1" ht="15" customHeight="1">
      <c r="E251" s="28"/>
      <c r="F251" s="28"/>
      <c r="G251" s="28"/>
      <c r="H251" s="28"/>
      <c r="I251" s="28"/>
      <c r="L251" s="29"/>
      <c r="M251" s="29"/>
      <c r="N251" s="29"/>
      <c r="O251" s="28"/>
      <c r="P251" s="28"/>
      <c r="S251" s="29"/>
      <c r="T251" s="29"/>
      <c r="U251" s="29"/>
      <c r="V251" s="28"/>
      <c r="W251" s="28"/>
      <c r="Z251" s="29"/>
      <c r="AA251" s="29"/>
      <c r="AB251" s="29"/>
      <c r="AC251" s="28"/>
      <c r="AD251" s="28"/>
      <c r="AG251" s="29"/>
      <c r="AH251" s="29"/>
      <c r="AI251" s="29"/>
      <c r="AJ251" s="26"/>
    </row>
    <row r="252" spans="5:36" s="27" customFormat="1" ht="15" customHeight="1">
      <c r="E252" s="28"/>
      <c r="F252" s="28"/>
      <c r="G252" s="28"/>
      <c r="H252" s="28"/>
      <c r="I252" s="28"/>
      <c r="L252" s="29"/>
      <c r="M252" s="29"/>
      <c r="N252" s="29"/>
      <c r="O252" s="28"/>
      <c r="P252" s="28"/>
      <c r="S252" s="29"/>
      <c r="T252" s="29"/>
      <c r="U252" s="29"/>
      <c r="V252" s="28"/>
      <c r="W252" s="28"/>
      <c r="Z252" s="29"/>
      <c r="AA252" s="29"/>
      <c r="AB252" s="29"/>
      <c r="AC252" s="28"/>
      <c r="AD252" s="28"/>
      <c r="AG252" s="29"/>
      <c r="AH252" s="29"/>
      <c r="AI252" s="29"/>
      <c r="AJ252" s="26"/>
    </row>
    <row r="253" spans="5:36" s="27" customFormat="1" ht="15" customHeight="1">
      <c r="E253" s="28"/>
      <c r="F253" s="28"/>
      <c r="G253" s="28"/>
      <c r="H253" s="28"/>
      <c r="I253" s="28"/>
      <c r="L253" s="29"/>
      <c r="M253" s="29"/>
      <c r="N253" s="29"/>
      <c r="O253" s="28"/>
      <c r="P253" s="28"/>
      <c r="S253" s="29"/>
      <c r="T253" s="29"/>
      <c r="U253" s="29"/>
      <c r="V253" s="28"/>
      <c r="W253" s="28"/>
      <c r="Z253" s="29"/>
      <c r="AA253" s="29"/>
      <c r="AB253" s="29"/>
      <c r="AC253" s="28"/>
      <c r="AD253" s="28"/>
      <c r="AG253" s="29"/>
      <c r="AH253" s="29"/>
      <c r="AI253" s="29"/>
      <c r="AJ253" s="26"/>
    </row>
    <row r="254" spans="5:36" s="27" customFormat="1" ht="15" customHeight="1">
      <c r="E254" s="28"/>
      <c r="F254" s="28"/>
      <c r="G254" s="28"/>
      <c r="H254" s="28"/>
      <c r="I254" s="28"/>
      <c r="L254" s="29"/>
      <c r="M254" s="29"/>
      <c r="N254" s="29"/>
      <c r="O254" s="28"/>
      <c r="P254" s="28"/>
      <c r="S254" s="29"/>
      <c r="T254" s="29"/>
      <c r="U254" s="29"/>
      <c r="V254" s="28"/>
      <c r="W254" s="28"/>
      <c r="Z254" s="29"/>
      <c r="AA254" s="29"/>
      <c r="AB254" s="29"/>
      <c r="AC254" s="28"/>
      <c r="AD254" s="28"/>
      <c r="AG254" s="29"/>
      <c r="AH254" s="29"/>
      <c r="AI254" s="29"/>
      <c r="AJ254" s="26"/>
    </row>
    <row r="255" spans="5:36" s="27" customFormat="1" ht="15" customHeight="1">
      <c r="E255" s="28"/>
      <c r="F255" s="28"/>
      <c r="G255" s="28"/>
      <c r="H255" s="28"/>
      <c r="I255" s="28"/>
      <c r="L255" s="29"/>
      <c r="M255" s="29"/>
      <c r="N255" s="29"/>
      <c r="O255" s="28"/>
      <c r="P255" s="28"/>
      <c r="S255" s="29"/>
      <c r="T255" s="29"/>
      <c r="U255" s="29"/>
      <c r="V255" s="28"/>
      <c r="W255" s="28"/>
      <c r="Z255" s="29"/>
      <c r="AA255" s="29"/>
      <c r="AB255" s="29"/>
      <c r="AC255" s="28"/>
      <c r="AD255" s="28"/>
      <c r="AG255" s="29"/>
      <c r="AH255" s="29"/>
      <c r="AI255" s="29"/>
      <c r="AJ255" s="26"/>
    </row>
    <row r="256" spans="5:36" s="27" customFormat="1" ht="15" customHeight="1">
      <c r="E256" s="28"/>
      <c r="F256" s="28"/>
      <c r="G256" s="28"/>
      <c r="H256" s="28"/>
      <c r="I256" s="28"/>
      <c r="L256" s="29"/>
      <c r="M256" s="29"/>
      <c r="N256" s="29"/>
      <c r="O256" s="28"/>
      <c r="P256" s="28"/>
      <c r="S256" s="29"/>
      <c r="T256" s="29"/>
      <c r="U256" s="29"/>
      <c r="V256" s="28"/>
      <c r="W256" s="28"/>
      <c r="Z256" s="29"/>
      <c r="AA256" s="29"/>
      <c r="AB256" s="29"/>
      <c r="AC256" s="28"/>
      <c r="AD256" s="28"/>
      <c r="AG256" s="29"/>
      <c r="AH256" s="29"/>
      <c r="AI256" s="29"/>
      <c r="AJ256" s="26"/>
    </row>
    <row r="257" spans="5:36" s="27" customFormat="1" ht="15" customHeight="1">
      <c r="E257" s="28"/>
      <c r="F257" s="28"/>
      <c r="G257" s="28"/>
      <c r="H257" s="28"/>
      <c r="I257" s="28"/>
      <c r="L257" s="29"/>
      <c r="M257" s="29"/>
      <c r="N257" s="29"/>
      <c r="O257" s="28"/>
      <c r="P257" s="28"/>
      <c r="S257" s="29"/>
      <c r="T257" s="29"/>
      <c r="U257" s="29"/>
      <c r="V257" s="28"/>
      <c r="W257" s="28"/>
      <c r="Z257" s="29"/>
      <c r="AA257" s="29"/>
      <c r="AB257" s="29"/>
      <c r="AC257" s="28"/>
      <c r="AD257" s="28"/>
      <c r="AG257" s="29"/>
      <c r="AH257" s="29"/>
      <c r="AI257" s="29"/>
      <c r="AJ257" s="26"/>
    </row>
    <row r="258" spans="5:36" s="27" customFormat="1" ht="15" customHeight="1">
      <c r="E258" s="28"/>
      <c r="F258" s="28"/>
      <c r="G258" s="28"/>
      <c r="H258" s="28"/>
      <c r="I258" s="28"/>
      <c r="L258" s="29"/>
      <c r="M258" s="29"/>
      <c r="N258" s="29"/>
      <c r="O258" s="28"/>
      <c r="P258" s="28"/>
      <c r="S258" s="29"/>
      <c r="T258" s="29"/>
      <c r="U258" s="29"/>
      <c r="V258" s="28"/>
      <c r="W258" s="28"/>
      <c r="Z258" s="29"/>
      <c r="AA258" s="29"/>
      <c r="AB258" s="29"/>
      <c r="AC258" s="28"/>
      <c r="AD258" s="28"/>
      <c r="AG258" s="29"/>
      <c r="AH258" s="29"/>
      <c r="AI258" s="29"/>
      <c r="AJ258" s="26"/>
    </row>
    <row r="259" spans="5:36" s="27" customFormat="1" ht="15" customHeight="1">
      <c r="E259" s="28"/>
      <c r="F259" s="28"/>
      <c r="G259" s="28"/>
      <c r="H259" s="28"/>
      <c r="I259" s="28"/>
      <c r="L259" s="29"/>
      <c r="M259" s="29"/>
      <c r="N259" s="29"/>
      <c r="O259" s="28"/>
      <c r="P259" s="28"/>
      <c r="S259" s="29"/>
      <c r="T259" s="29"/>
      <c r="U259" s="29"/>
      <c r="V259" s="28"/>
      <c r="W259" s="28"/>
      <c r="Z259" s="29"/>
      <c r="AA259" s="29"/>
      <c r="AB259" s="29"/>
      <c r="AC259" s="28"/>
      <c r="AD259" s="28"/>
      <c r="AG259" s="29"/>
      <c r="AH259" s="29"/>
      <c r="AI259" s="29"/>
      <c r="AJ259" s="26"/>
    </row>
    <row r="260" spans="5:36" s="27" customFormat="1" ht="15" customHeight="1">
      <c r="E260" s="28"/>
      <c r="F260" s="28"/>
      <c r="G260" s="28"/>
      <c r="H260" s="28"/>
      <c r="I260" s="28"/>
      <c r="L260" s="29"/>
      <c r="M260" s="29"/>
      <c r="N260" s="29"/>
      <c r="O260" s="28"/>
      <c r="P260" s="28"/>
      <c r="S260" s="29"/>
      <c r="T260" s="29"/>
      <c r="U260" s="29"/>
      <c r="V260" s="28"/>
      <c r="W260" s="28"/>
      <c r="Z260" s="29"/>
      <c r="AA260" s="29"/>
      <c r="AB260" s="29"/>
      <c r="AC260" s="28"/>
      <c r="AD260" s="28"/>
      <c r="AG260" s="29"/>
      <c r="AH260" s="29"/>
      <c r="AI260" s="29"/>
      <c r="AJ260" s="26"/>
    </row>
    <row r="261" spans="5:36" s="27" customFormat="1" ht="15" customHeight="1">
      <c r="E261" s="28"/>
      <c r="F261" s="28"/>
      <c r="G261" s="28"/>
      <c r="H261" s="28"/>
      <c r="I261" s="28"/>
      <c r="L261" s="29"/>
      <c r="M261" s="29"/>
      <c r="N261" s="29"/>
      <c r="O261" s="28"/>
      <c r="P261" s="28"/>
      <c r="S261" s="29"/>
      <c r="T261" s="29"/>
      <c r="U261" s="29"/>
      <c r="V261" s="28"/>
      <c r="W261" s="28"/>
      <c r="Z261" s="29"/>
      <c r="AA261" s="29"/>
      <c r="AB261" s="29"/>
      <c r="AC261" s="28"/>
      <c r="AD261" s="28"/>
      <c r="AG261" s="29"/>
      <c r="AH261" s="29"/>
      <c r="AI261" s="29"/>
      <c r="AJ261" s="26"/>
    </row>
    <row r="262" spans="5:36" s="27" customFormat="1" ht="15" customHeight="1">
      <c r="E262" s="28"/>
      <c r="F262" s="28"/>
      <c r="G262" s="28"/>
      <c r="H262" s="28"/>
      <c r="I262" s="28"/>
      <c r="L262" s="29"/>
      <c r="M262" s="29"/>
      <c r="N262" s="29"/>
      <c r="O262" s="28"/>
      <c r="P262" s="28"/>
      <c r="S262" s="29"/>
      <c r="T262" s="29"/>
      <c r="U262" s="29"/>
      <c r="V262" s="28"/>
      <c r="W262" s="28"/>
      <c r="Z262" s="29"/>
      <c r="AA262" s="29"/>
      <c r="AB262" s="29"/>
      <c r="AC262" s="28"/>
      <c r="AD262" s="28"/>
      <c r="AG262" s="29"/>
      <c r="AH262" s="29"/>
      <c r="AI262" s="29"/>
      <c r="AJ262" s="26"/>
    </row>
    <row r="263" spans="5:36" s="27" customFormat="1" ht="15" customHeight="1">
      <c r="E263" s="28"/>
      <c r="F263" s="28"/>
      <c r="G263" s="28"/>
      <c r="H263" s="28"/>
      <c r="I263" s="28"/>
      <c r="L263" s="29"/>
      <c r="M263" s="29"/>
      <c r="N263" s="29"/>
      <c r="O263" s="28"/>
      <c r="P263" s="28"/>
      <c r="S263" s="29"/>
      <c r="T263" s="29"/>
      <c r="U263" s="29"/>
      <c r="V263" s="28"/>
      <c r="W263" s="28"/>
      <c r="Z263" s="29"/>
      <c r="AA263" s="29"/>
      <c r="AB263" s="29"/>
      <c r="AC263" s="28"/>
      <c r="AD263" s="28"/>
      <c r="AG263" s="29"/>
      <c r="AH263" s="29"/>
      <c r="AI263" s="29"/>
      <c r="AJ263" s="26"/>
    </row>
    <row r="264" spans="5:36" s="27" customFormat="1" ht="15" customHeight="1">
      <c r="E264" s="28"/>
      <c r="F264" s="28"/>
      <c r="G264" s="28"/>
      <c r="H264" s="28"/>
      <c r="I264" s="28"/>
      <c r="L264" s="29"/>
      <c r="M264" s="29"/>
      <c r="N264" s="29"/>
      <c r="O264" s="28"/>
      <c r="P264" s="28"/>
      <c r="S264" s="29"/>
      <c r="T264" s="29"/>
      <c r="U264" s="29"/>
      <c r="V264" s="28"/>
      <c r="W264" s="28"/>
      <c r="Z264" s="29"/>
      <c r="AA264" s="29"/>
      <c r="AB264" s="29"/>
      <c r="AC264" s="28"/>
      <c r="AD264" s="28"/>
      <c r="AG264" s="29"/>
      <c r="AH264" s="29"/>
      <c r="AI264" s="29"/>
      <c r="AJ264" s="26"/>
    </row>
    <row r="265" spans="5:36" s="27" customFormat="1" ht="15" customHeight="1">
      <c r="E265" s="28"/>
      <c r="F265" s="28"/>
      <c r="G265" s="28"/>
      <c r="H265" s="28"/>
      <c r="I265" s="28"/>
      <c r="L265" s="29"/>
      <c r="M265" s="29"/>
      <c r="N265" s="29"/>
      <c r="O265" s="28"/>
      <c r="P265" s="28"/>
      <c r="S265" s="29"/>
      <c r="T265" s="29"/>
      <c r="U265" s="29"/>
      <c r="V265" s="28"/>
      <c r="W265" s="28"/>
      <c r="Z265" s="29"/>
      <c r="AA265" s="29"/>
      <c r="AB265" s="29"/>
      <c r="AC265" s="28"/>
      <c r="AD265" s="28"/>
      <c r="AG265" s="29"/>
      <c r="AH265" s="29"/>
      <c r="AI265" s="29"/>
      <c r="AJ265" s="26"/>
    </row>
    <row r="266" spans="5:36" s="27" customFormat="1" ht="15" customHeight="1">
      <c r="E266" s="28"/>
      <c r="F266" s="28"/>
      <c r="G266" s="28"/>
      <c r="H266" s="28"/>
      <c r="I266" s="28"/>
      <c r="L266" s="29"/>
      <c r="M266" s="29"/>
      <c r="N266" s="29"/>
      <c r="O266" s="28"/>
      <c r="P266" s="28"/>
      <c r="S266" s="29"/>
      <c r="T266" s="29"/>
      <c r="U266" s="29"/>
      <c r="V266" s="28"/>
      <c r="W266" s="28"/>
      <c r="Z266" s="29"/>
      <c r="AA266" s="29"/>
      <c r="AB266" s="29"/>
      <c r="AC266" s="28"/>
      <c r="AD266" s="28"/>
      <c r="AG266" s="29"/>
      <c r="AH266" s="29"/>
      <c r="AI266" s="29"/>
      <c r="AJ266" s="26"/>
    </row>
    <row r="267" spans="5:36" s="27" customFormat="1" ht="15" customHeight="1">
      <c r="E267" s="28"/>
      <c r="F267" s="28"/>
      <c r="G267" s="28"/>
      <c r="H267" s="28"/>
      <c r="I267" s="28"/>
      <c r="L267" s="29"/>
      <c r="M267" s="29"/>
      <c r="N267" s="29"/>
      <c r="O267" s="28"/>
      <c r="P267" s="28"/>
      <c r="S267" s="29"/>
      <c r="T267" s="29"/>
      <c r="U267" s="29"/>
      <c r="V267" s="28"/>
      <c r="W267" s="28"/>
      <c r="Z267" s="29"/>
      <c r="AA267" s="29"/>
      <c r="AB267" s="29"/>
      <c r="AC267" s="28"/>
      <c r="AD267" s="28"/>
      <c r="AG267" s="29"/>
      <c r="AH267" s="29"/>
      <c r="AI267" s="29"/>
      <c r="AJ267" s="26"/>
    </row>
    <row r="268" spans="5:36" s="27" customFormat="1" ht="15" customHeight="1">
      <c r="E268" s="28"/>
      <c r="F268" s="28"/>
      <c r="G268" s="28"/>
      <c r="H268" s="28"/>
      <c r="I268" s="28"/>
      <c r="L268" s="29"/>
      <c r="M268" s="29"/>
      <c r="N268" s="29"/>
      <c r="O268" s="28"/>
      <c r="P268" s="28"/>
      <c r="S268" s="29"/>
      <c r="T268" s="29"/>
      <c r="U268" s="29"/>
      <c r="V268" s="28"/>
      <c r="W268" s="28"/>
      <c r="Z268" s="29"/>
      <c r="AA268" s="29"/>
      <c r="AB268" s="29"/>
      <c r="AC268" s="28"/>
      <c r="AD268" s="28"/>
      <c r="AG268" s="29"/>
      <c r="AH268" s="29"/>
      <c r="AI268" s="29"/>
      <c r="AJ268" s="26"/>
    </row>
    <row r="269" spans="5:36" s="27" customFormat="1" ht="15" customHeight="1">
      <c r="E269" s="28"/>
      <c r="F269" s="28"/>
      <c r="G269" s="28"/>
      <c r="H269" s="28"/>
      <c r="I269" s="28"/>
      <c r="L269" s="29"/>
      <c r="M269" s="29"/>
      <c r="N269" s="29"/>
      <c r="O269" s="28"/>
      <c r="P269" s="28"/>
      <c r="S269" s="29"/>
      <c r="T269" s="29"/>
      <c r="U269" s="29"/>
      <c r="V269" s="28"/>
      <c r="W269" s="28"/>
      <c r="Z269" s="29"/>
      <c r="AA269" s="29"/>
      <c r="AB269" s="29"/>
      <c r="AC269" s="28"/>
      <c r="AD269" s="28"/>
      <c r="AG269" s="29"/>
      <c r="AH269" s="29"/>
      <c r="AI269" s="29"/>
      <c r="AJ269" s="26"/>
    </row>
    <row r="270" spans="5:36" s="27" customFormat="1" ht="15" customHeight="1">
      <c r="E270" s="28"/>
      <c r="F270" s="28"/>
      <c r="G270" s="28"/>
      <c r="H270" s="28"/>
      <c r="I270" s="28"/>
      <c r="L270" s="29"/>
      <c r="M270" s="29"/>
      <c r="N270" s="29"/>
      <c r="O270" s="28"/>
      <c r="P270" s="28"/>
      <c r="S270" s="29"/>
      <c r="T270" s="29"/>
      <c r="U270" s="29"/>
      <c r="V270" s="28"/>
      <c r="W270" s="28"/>
      <c r="Z270" s="29"/>
      <c r="AA270" s="29"/>
      <c r="AB270" s="29"/>
      <c r="AC270" s="28"/>
      <c r="AD270" s="28"/>
      <c r="AG270" s="29"/>
      <c r="AH270" s="29"/>
      <c r="AI270" s="29"/>
      <c r="AJ270" s="26"/>
    </row>
    <row r="271" spans="5:36" s="27" customFormat="1" ht="15" customHeight="1">
      <c r="E271" s="28"/>
      <c r="F271" s="28"/>
      <c r="G271" s="28"/>
      <c r="H271" s="28"/>
      <c r="I271" s="28"/>
      <c r="L271" s="29"/>
      <c r="M271" s="29"/>
      <c r="N271" s="29"/>
      <c r="O271" s="28"/>
      <c r="P271" s="28"/>
      <c r="S271" s="29"/>
      <c r="T271" s="29"/>
      <c r="U271" s="29"/>
      <c r="V271" s="28"/>
      <c r="W271" s="28"/>
      <c r="Z271" s="29"/>
      <c r="AA271" s="29"/>
      <c r="AB271" s="29"/>
      <c r="AC271" s="28"/>
      <c r="AD271" s="28"/>
      <c r="AG271" s="29"/>
      <c r="AH271" s="29"/>
      <c r="AI271" s="29"/>
      <c r="AJ271" s="26"/>
    </row>
    <row r="272" spans="5:36" s="27" customFormat="1" ht="15" customHeight="1">
      <c r="E272" s="28"/>
      <c r="F272" s="28"/>
      <c r="G272" s="28"/>
      <c r="H272" s="28"/>
      <c r="I272" s="28"/>
      <c r="L272" s="29"/>
      <c r="M272" s="29"/>
      <c r="N272" s="29"/>
      <c r="O272" s="28"/>
      <c r="P272" s="28"/>
      <c r="S272" s="29"/>
      <c r="T272" s="29"/>
      <c r="U272" s="29"/>
      <c r="V272" s="28"/>
      <c r="W272" s="28"/>
      <c r="Z272" s="29"/>
      <c r="AA272" s="29"/>
      <c r="AB272" s="29"/>
      <c r="AC272" s="28"/>
      <c r="AD272" s="28"/>
      <c r="AG272" s="29"/>
      <c r="AH272" s="29"/>
      <c r="AI272" s="29"/>
      <c r="AJ272" s="26"/>
    </row>
    <row r="273" spans="5:36" s="27" customFormat="1" ht="15" customHeight="1">
      <c r="E273" s="28"/>
      <c r="F273" s="28"/>
      <c r="G273" s="28"/>
      <c r="H273" s="28"/>
      <c r="I273" s="28"/>
      <c r="L273" s="29"/>
      <c r="M273" s="29"/>
      <c r="N273" s="29"/>
      <c r="O273" s="28"/>
      <c r="P273" s="28"/>
      <c r="S273" s="29"/>
      <c r="T273" s="29"/>
      <c r="U273" s="29"/>
      <c r="V273" s="28"/>
      <c r="W273" s="28"/>
      <c r="Z273" s="29"/>
      <c r="AA273" s="29"/>
      <c r="AB273" s="29"/>
      <c r="AC273" s="28"/>
      <c r="AD273" s="28"/>
      <c r="AG273" s="29"/>
      <c r="AH273" s="29"/>
      <c r="AI273" s="29"/>
      <c r="AJ273" s="26"/>
    </row>
    <row r="274" spans="5:36" s="27" customFormat="1" ht="15" customHeight="1">
      <c r="E274" s="28"/>
      <c r="F274" s="28"/>
      <c r="G274" s="28"/>
      <c r="H274" s="28"/>
      <c r="I274" s="28"/>
      <c r="L274" s="29"/>
      <c r="M274" s="29"/>
      <c r="N274" s="29"/>
      <c r="O274" s="28"/>
      <c r="P274" s="28"/>
      <c r="S274" s="29"/>
      <c r="T274" s="29"/>
      <c r="U274" s="29"/>
      <c r="V274" s="28"/>
      <c r="W274" s="28"/>
      <c r="Z274" s="29"/>
      <c r="AA274" s="29"/>
      <c r="AB274" s="29"/>
      <c r="AC274" s="28"/>
      <c r="AD274" s="28"/>
      <c r="AG274" s="29"/>
      <c r="AH274" s="29"/>
      <c r="AI274" s="29"/>
      <c r="AJ274" s="26"/>
    </row>
    <row r="275" spans="5:36" s="27" customFormat="1" ht="15" customHeight="1">
      <c r="E275" s="28"/>
      <c r="F275" s="28"/>
      <c r="G275" s="28"/>
      <c r="H275" s="28"/>
      <c r="I275" s="28"/>
      <c r="L275" s="29"/>
      <c r="M275" s="29"/>
      <c r="N275" s="29"/>
      <c r="O275" s="28"/>
      <c r="P275" s="28"/>
      <c r="S275" s="29"/>
      <c r="T275" s="29"/>
      <c r="U275" s="29"/>
      <c r="V275" s="28"/>
      <c r="W275" s="28"/>
      <c r="Z275" s="29"/>
      <c r="AA275" s="29"/>
      <c r="AB275" s="29"/>
      <c r="AC275" s="28"/>
      <c r="AD275" s="28"/>
      <c r="AG275" s="29"/>
      <c r="AH275" s="29"/>
      <c r="AI275" s="29"/>
      <c r="AJ275" s="26"/>
    </row>
    <row r="276" spans="5:36" s="27" customFormat="1" ht="15" customHeight="1">
      <c r="E276" s="28"/>
      <c r="F276" s="28"/>
      <c r="G276" s="28"/>
      <c r="H276" s="28"/>
      <c r="I276" s="28"/>
      <c r="L276" s="29"/>
      <c r="M276" s="29"/>
      <c r="N276" s="29"/>
      <c r="O276" s="28"/>
      <c r="P276" s="28"/>
      <c r="S276" s="29"/>
      <c r="T276" s="29"/>
      <c r="U276" s="29"/>
      <c r="V276" s="28"/>
      <c r="W276" s="28"/>
      <c r="Z276" s="29"/>
      <c r="AA276" s="29"/>
      <c r="AB276" s="29"/>
      <c r="AC276" s="28"/>
      <c r="AD276" s="28"/>
      <c r="AG276" s="29"/>
      <c r="AH276" s="29"/>
      <c r="AI276" s="29"/>
      <c r="AJ276" s="26"/>
    </row>
    <row r="277" spans="5:36" s="27" customFormat="1" ht="15" customHeight="1">
      <c r="E277" s="28"/>
      <c r="F277" s="28"/>
      <c r="G277" s="28"/>
      <c r="H277" s="28"/>
      <c r="I277" s="28"/>
      <c r="L277" s="29"/>
      <c r="M277" s="29"/>
      <c r="N277" s="29"/>
      <c r="O277" s="28"/>
      <c r="P277" s="28"/>
      <c r="S277" s="29"/>
      <c r="T277" s="29"/>
      <c r="U277" s="29"/>
      <c r="V277" s="28"/>
      <c r="W277" s="28"/>
      <c r="Z277" s="29"/>
      <c r="AA277" s="29"/>
      <c r="AB277" s="29"/>
      <c r="AC277" s="28"/>
      <c r="AD277" s="28"/>
      <c r="AG277" s="29"/>
      <c r="AH277" s="29"/>
      <c r="AI277" s="29"/>
      <c r="AJ277" s="26"/>
    </row>
    <row r="278" spans="5:36" s="27" customFormat="1" ht="15" customHeight="1">
      <c r="E278" s="28"/>
      <c r="F278" s="28"/>
      <c r="G278" s="28"/>
      <c r="H278" s="28"/>
      <c r="I278" s="28"/>
      <c r="L278" s="29"/>
      <c r="M278" s="29"/>
      <c r="N278" s="29"/>
      <c r="O278" s="28"/>
      <c r="P278" s="28"/>
      <c r="S278" s="29"/>
      <c r="T278" s="29"/>
      <c r="U278" s="29"/>
      <c r="V278" s="28"/>
      <c r="W278" s="28"/>
      <c r="Z278" s="29"/>
      <c r="AA278" s="29"/>
      <c r="AB278" s="29"/>
      <c r="AC278" s="28"/>
      <c r="AD278" s="28"/>
      <c r="AG278" s="29"/>
      <c r="AH278" s="29"/>
      <c r="AI278" s="29"/>
      <c r="AJ278" s="26"/>
    </row>
    <row r="279" spans="5:36" s="27" customFormat="1" ht="15" customHeight="1">
      <c r="E279" s="28"/>
      <c r="F279" s="28"/>
      <c r="G279" s="28"/>
      <c r="H279" s="28"/>
      <c r="I279" s="28"/>
      <c r="L279" s="29"/>
      <c r="M279" s="29"/>
      <c r="N279" s="29"/>
      <c r="O279" s="28"/>
      <c r="P279" s="28"/>
      <c r="S279" s="29"/>
      <c r="T279" s="29"/>
      <c r="U279" s="29"/>
      <c r="V279" s="28"/>
      <c r="W279" s="28"/>
      <c r="Z279" s="29"/>
      <c r="AA279" s="29"/>
      <c r="AB279" s="29"/>
      <c r="AC279" s="28"/>
      <c r="AD279" s="28"/>
      <c r="AG279" s="29"/>
      <c r="AH279" s="29"/>
      <c r="AI279" s="29"/>
      <c r="AJ279" s="26"/>
    </row>
    <row r="280" spans="5:36" s="27" customFormat="1" ht="15" customHeight="1">
      <c r="E280" s="28"/>
      <c r="F280" s="28"/>
      <c r="G280" s="28"/>
      <c r="H280" s="28"/>
      <c r="I280" s="28"/>
      <c r="L280" s="29"/>
      <c r="M280" s="29"/>
      <c r="N280" s="29"/>
      <c r="O280" s="28"/>
      <c r="P280" s="28"/>
      <c r="S280" s="29"/>
      <c r="T280" s="29"/>
      <c r="U280" s="29"/>
      <c r="V280" s="28"/>
      <c r="W280" s="28"/>
      <c r="Z280" s="29"/>
      <c r="AA280" s="29"/>
      <c r="AB280" s="29"/>
      <c r="AC280" s="28"/>
      <c r="AD280" s="28"/>
      <c r="AG280" s="29"/>
      <c r="AH280" s="29"/>
      <c r="AI280" s="29"/>
      <c r="AJ280" s="26"/>
    </row>
    <row r="281" spans="5:36" s="27" customFormat="1" ht="15" customHeight="1">
      <c r="E281" s="28"/>
      <c r="F281" s="28"/>
      <c r="G281" s="28"/>
      <c r="H281" s="28"/>
      <c r="I281" s="28"/>
      <c r="L281" s="29"/>
      <c r="M281" s="29"/>
      <c r="N281" s="29"/>
      <c r="O281" s="28"/>
      <c r="P281" s="28"/>
      <c r="S281" s="29"/>
      <c r="T281" s="29"/>
      <c r="U281" s="29"/>
      <c r="V281" s="28"/>
      <c r="W281" s="28"/>
      <c r="Z281" s="29"/>
      <c r="AA281" s="29"/>
      <c r="AB281" s="29"/>
      <c r="AC281" s="28"/>
      <c r="AD281" s="28"/>
      <c r="AG281" s="29"/>
      <c r="AH281" s="29"/>
      <c r="AI281" s="29"/>
      <c r="AJ281" s="26"/>
    </row>
    <row r="282" spans="5:36" s="27" customFormat="1" ht="15" customHeight="1">
      <c r="E282" s="28"/>
      <c r="F282" s="28"/>
      <c r="G282" s="28"/>
      <c r="H282" s="28"/>
      <c r="I282" s="28"/>
      <c r="L282" s="29"/>
      <c r="M282" s="29"/>
      <c r="N282" s="29"/>
      <c r="O282" s="28"/>
      <c r="P282" s="28"/>
      <c r="S282" s="29"/>
      <c r="T282" s="29"/>
      <c r="U282" s="29"/>
      <c r="V282" s="28"/>
      <c r="W282" s="28"/>
      <c r="Z282" s="29"/>
      <c r="AA282" s="29"/>
      <c r="AB282" s="29"/>
      <c r="AC282" s="28"/>
      <c r="AD282" s="28"/>
      <c r="AG282" s="29"/>
      <c r="AH282" s="29"/>
      <c r="AI282" s="29"/>
      <c r="AJ282" s="26"/>
    </row>
    <row r="283" spans="5:36" s="27" customFormat="1" ht="15" customHeight="1">
      <c r="E283" s="28"/>
      <c r="F283" s="28"/>
      <c r="G283" s="28"/>
      <c r="H283" s="28"/>
      <c r="I283" s="28"/>
      <c r="L283" s="29"/>
      <c r="M283" s="29"/>
      <c r="N283" s="29"/>
      <c r="O283" s="28"/>
      <c r="P283" s="28"/>
      <c r="S283" s="29"/>
      <c r="T283" s="29"/>
      <c r="U283" s="29"/>
      <c r="V283" s="28"/>
      <c r="W283" s="28"/>
      <c r="Z283" s="29"/>
      <c r="AA283" s="29"/>
      <c r="AB283" s="29"/>
      <c r="AC283" s="28"/>
      <c r="AD283" s="28"/>
      <c r="AG283" s="29"/>
      <c r="AH283" s="29"/>
      <c r="AI283" s="29"/>
      <c r="AJ283" s="26"/>
    </row>
    <row r="284" spans="5:36" s="27" customFormat="1" ht="15" customHeight="1">
      <c r="E284" s="28"/>
      <c r="F284" s="28"/>
      <c r="G284" s="28"/>
      <c r="H284" s="28"/>
      <c r="I284" s="28"/>
      <c r="L284" s="29"/>
      <c r="M284" s="29"/>
      <c r="N284" s="29"/>
      <c r="O284" s="28"/>
      <c r="P284" s="28"/>
      <c r="S284" s="29"/>
      <c r="T284" s="29"/>
      <c r="U284" s="29"/>
      <c r="V284" s="28"/>
      <c r="W284" s="28"/>
      <c r="Z284" s="29"/>
      <c r="AA284" s="29"/>
      <c r="AB284" s="29"/>
      <c r="AC284" s="28"/>
      <c r="AD284" s="28"/>
      <c r="AG284" s="29"/>
      <c r="AH284" s="29"/>
      <c r="AI284" s="29"/>
      <c r="AJ284" s="26"/>
    </row>
    <row r="285" spans="5:36" s="27" customFormat="1" ht="15" customHeight="1">
      <c r="E285" s="28"/>
      <c r="F285" s="28"/>
      <c r="G285" s="28"/>
      <c r="H285" s="28"/>
      <c r="I285" s="28"/>
      <c r="L285" s="29"/>
      <c r="M285" s="29"/>
      <c r="N285" s="29"/>
      <c r="O285" s="28"/>
      <c r="P285" s="28"/>
      <c r="S285" s="29"/>
      <c r="T285" s="29"/>
      <c r="U285" s="29"/>
      <c r="V285" s="28"/>
      <c r="W285" s="28"/>
      <c r="Z285" s="29"/>
      <c r="AA285" s="29"/>
      <c r="AB285" s="29"/>
      <c r="AC285" s="28"/>
      <c r="AD285" s="28"/>
      <c r="AG285" s="29"/>
      <c r="AH285" s="29"/>
      <c r="AI285" s="29"/>
      <c r="AJ285" s="26"/>
    </row>
    <row r="286" spans="5:36" s="27" customFormat="1" ht="15" customHeight="1">
      <c r="E286" s="28"/>
      <c r="F286" s="28"/>
      <c r="G286" s="28"/>
      <c r="H286" s="28"/>
      <c r="I286" s="28"/>
      <c r="L286" s="29"/>
      <c r="M286" s="29"/>
      <c r="N286" s="29"/>
      <c r="O286" s="28"/>
      <c r="P286" s="28"/>
      <c r="S286" s="29"/>
      <c r="T286" s="29"/>
      <c r="U286" s="29"/>
      <c r="V286" s="28"/>
      <c r="W286" s="28"/>
      <c r="Z286" s="29"/>
      <c r="AA286" s="29"/>
      <c r="AB286" s="29"/>
      <c r="AC286" s="28"/>
      <c r="AD286" s="28"/>
      <c r="AG286" s="29"/>
      <c r="AH286" s="29"/>
      <c r="AI286" s="29"/>
      <c r="AJ286" s="26"/>
    </row>
    <row r="287" spans="5:36" s="27" customFormat="1" ht="15" customHeight="1">
      <c r="E287" s="28"/>
      <c r="F287" s="28"/>
      <c r="G287" s="28"/>
      <c r="H287" s="28"/>
      <c r="I287" s="28"/>
      <c r="L287" s="29"/>
      <c r="M287" s="29"/>
      <c r="N287" s="29"/>
      <c r="O287" s="28"/>
      <c r="P287" s="28"/>
      <c r="S287" s="29"/>
      <c r="T287" s="29"/>
      <c r="U287" s="29"/>
      <c r="V287" s="28"/>
      <c r="W287" s="28"/>
      <c r="Z287" s="29"/>
      <c r="AA287" s="29"/>
      <c r="AB287" s="29"/>
      <c r="AC287" s="28"/>
      <c r="AD287" s="28"/>
      <c r="AG287" s="29"/>
      <c r="AH287" s="29"/>
      <c r="AI287" s="29"/>
      <c r="AJ287" s="26"/>
    </row>
    <row r="288" spans="5:36" s="27" customFormat="1" ht="15" customHeight="1">
      <c r="E288" s="28"/>
      <c r="F288" s="28"/>
      <c r="G288" s="28"/>
      <c r="H288" s="28"/>
      <c r="I288" s="28"/>
      <c r="L288" s="29"/>
      <c r="M288" s="29"/>
      <c r="N288" s="29"/>
      <c r="O288" s="28"/>
      <c r="P288" s="28"/>
      <c r="S288" s="29"/>
      <c r="T288" s="29"/>
      <c r="U288" s="29"/>
      <c r="V288" s="28"/>
      <c r="W288" s="28"/>
      <c r="Z288" s="29"/>
      <c r="AA288" s="29"/>
      <c r="AB288" s="29"/>
      <c r="AC288" s="28"/>
      <c r="AD288" s="28"/>
      <c r="AG288" s="29"/>
      <c r="AH288" s="29"/>
      <c r="AI288" s="29"/>
      <c r="AJ288" s="26"/>
    </row>
    <row r="289" spans="5:36" s="27" customFormat="1" ht="15" customHeight="1">
      <c r="E289" s="28"/>
      <c r="F289" s="28"/>
      <c r="G289" s="28"/>
      <c r="H289" s="28"/>
      <c r="I289" s="28"/>
      <c r="L289" s="29"/>
      <c r="M289" s="29"/>
      <c r="N289" s="29"/>
      <c r="O289" s="28"/>
      <c r="P289" s="28"/>
      <c r="S289" s="29"/>
      <c r="T289" s="29"/>
      <c r="U289" s="29"/>
      <c r="V289" s="28"/>
      <c r="W289" s="28"/>
      <c r="Z289" s="29"/>
      <c r="AA289" s="29"/>
      <c r="AB289" s="29"/>
      <c r="AC289" s="28"/>
      <c r="AD289" s="28"/>
      <c r="AG289" s="29"/>
      <c r="AH289" s="29"/>
      <c r="AI289" s="29"/>
      <c r="AJ289" s="26"/>
    </row>
    <row r="290" spans="5:36" s="27" customFormat="1" ht="15" customHeight="1">
      <c r="E290" s="28"/>
      <c r="F290" s="28"/>
      <c r="G290" s="28"/>
      <c r="H290" s="28"/>
      <c r="I290" s="28"/>
      <c r="L290" s="29"/>
      <c r="M290" s="29"/>
      <c r="N290" s="29"/>
      <c r="O290" s="28"/>
      <c r="P290" s="28"/>
      <c r="S290" s="29"/>
      <c r="T290" s="29"/>
      <c r="U290" s="29"/>
      <c r="V290" s="28"/>
      <c r="W290" s="28"/>
      <c r="Z290" s="29"/>
      <c r="AA290" s="29"/>
      <c r="AB290" s="29"/>
      <c r="AC290" s="28"/>
      <c r="AD290" s="28"/>
      <c r="AG290" s="29"/>
      <c r="AH290" s="29"/>
      <c r="AI290" s="29"/>
      <c r="AJ290" s="26"/>
    </row>
    <row r="291" spans="5:36" s="27" customFormat="1" ht="15" customHeight="1">
      <c r="E291" s="28"/>
      <c r="F291" s="28"/>
      <c r="G291" s="28"/>
      <c r="H291" s="28"/>
      <c r="I291" s="28"/>
      <c r="L291" s="29"/>
      <c r="M291" s="29"/>
      <c r="N291" s="29"/>
      <c r="O291" s="28"/>
      <c r="P291" s="28"/>
      <c r="S291" s="29"/>
      <c r="T291" s="29"/>
      <c r="U291" s="29"/>
      <c r="V291" s="28"/>
      <c r="W291" s="28"/>
      <c r="Z291" s="29"/>
      <c r="AA291" s="29"/>
      <c r="AB291" s="29"/>
      <c r="AC291" s="28"/>
      <c r="AD291" s="28"/>
      <c r="AG291" s="29"/>
      <c r="AH291" s="29"/>
      <c r="AI291" s="29"/>
      <c r="AJ291" s="26"/>
    </row>
    <row r="292" spans="5:36" s="27" customFormat="1" ht="15" customHeight="1">
      <c r="E292" s="28"/>
      <c r="F292" s="28"/>
      <c r="G292" s="28"/>
      <c r="H292" s="28"/>
      <c r="I292" s="28"/>
      <c r="L292" s="29"/>
      <c r="M292" s="29"/>
      <c r="N292" s="29"/>
      <c r="O292" s="28"/>
      <c r="P292" s="28"/>
      <c r="S292" s="29"/>
      <c r="T292" s="29"/>
      <c r="U292" s="29"/>
      <c r="V292" s="28"/>
      <c r="W292" s="28"/>
      <c r="Z292" s="29"/>
      <c r="AA292" s="29"/>
      <c r="AB292" s="29"/>
      <c r="AC292" s="28"/>
      <c r="AD292" s="28"/>
      <c r="AG292" s="29"/>
      <c r="AH292" s="29"/>
      <c r="AI292" s="29"/>
      <c r="AJ292" s="26"/>
    </row>
    <row r="293" spans="5:36" s="27" customFormat="1" ht="15" customHeight="1">
      <c r="E293" s="28"/>
      <c r="F293" s="28"/>
      <c r="G293" s="28"/>
      <c r="H293" s="28"/>
      <c r="I293" s="28"/>
      <c r="L293" s="29"/>
      <c r="M293" s="29"/>
      <c r="N293" s="29"/>
      <c r="O293" s="28"/>
      <c r="P293" s="28"/>
      <c r="S293" s="29"/>
      <c r="T293" s="29"/>
      <c r="U293" s="29"/>
      <c r="V293" s="28"/>
      <c r="W293" s="28"/>
      <c r="Z293" s="29"/>
      <c r="AA293" s="29"/>
      <c r="AB293" s="29"/>
      <c r="AC293" s="28"/>
      <c r="AD293" s="28"/>
      <c r="AG293" s="29"/>
      <c r="AH293" s="29"/>
      <c r="AI293" s="29"/>
      <c r="AJ293" s="26"/>
    </row>
    <row r="294" spans="5:36" s="27" customFormat="1" ht="15" customHeight="1">
      <c r="E294" s="28"/>
      <c r="F294" s="28"/>
      <c r="G294" s="28"/>
      <c r="H294" s="28"/>
      <c r="I294" s="28"/>
      <c r="L294" s="29"/>
      <c r="M294" s="29"/>
      <c r="N294" s="29"/>
      <c r="O294" s="28"/>
      <c r="P294" s="28"/>
      <c r="S294" s="29"/>
      <c r="T294" s="29"/>
      <c r="U294" s="29"/>
      <c r="V294" s="28"/>
      <c r="W294" s="28"/>
      <c r="Z294" s="29"/>
      <c r="AA294" s="29"/>
      <c r="AB294" s="29"/>
      <c r="AC294" s="28"/>
      <c r="AD294" s="28"/>
      <c r="AG294" s="29"/>
      <c r="AH294" s="29"/>
      <c r="AI294" s="29"/>
      <c r="AJ294" s="26"/>
    </row>
    <row r="295" spans="5:36" s="27" customFormat="1" ht="15" customHeight="1">
      <c r="E295" s="28"/>
      <c r="F295" s="28"/>
      <c r="G295" s="28"/>
      <c r="H295" s="28"/>
      <c r="I295" s="28"/>
      <c r="L295" s="29"/>
      <c r="M295" s="29"/>
      <c r="N295" s="29"/>
      <c r="O295" s="28"/>
      <c r="P295" s="28"/>
      <c r="S295" s="29"/>
      <c r="T295" s="29"/>
      <c r="U295" s="29"/>
      <c r="V295" s="28"/>
      <c r="W295" s="28"/>
      <c r="Z295" s="29"/>
      <c r="AA295" s="29"/>
      <c r="AB295" s="29"/>
      <c r="AC295" s="28"/>
      <c r="AD295" s="28"/>
      <c r="AG295" s="29"/>
      <c r="AH295" s="29"/>
      <c r="AI295" s="29"/>
      <c r="AJ295" s="26"/>
    </row>
    <row r="296" spans="5:36" s="27" customFormat="1" ht="15" customHeight="1">
      <c r="E296" s="28"/>
      <c r="F296" s="28"/>
      <c r="G296" s="28"/>
      <c r="H296" s="28"/>
      <c r="I296" s="28"/>
      <c r="L296" s="29"/>
      <c r="M296" s="29"/>
      <c r="N296" s="29"/>
      <c r="O296" s="28"/>
      <c r="P296" s="28"/>
      <c r="S296" s="29"/>
      <c r="T296" s="29"/>
      <c r="U296" s="29"/>
      <c r="V296" s="28"/>
      <c r="W296" s="28"/>
      <c r="Z296" s="29"/>
      <c r="AA296" s="29"/>
      <c r="AB296" s="29"/>
      <c r="AC296" s="28"/>
      <c r="AD296" s="28"/>
      <c r="AG296" s="29"/>
      <c r="AH296" s="29"/>
      <c r="AI296" s="29"/>
      <c r="AJ296" s="26"/>
    </row>
    <row r="297" spans="5:36" s="27" customFormat="1" ht="15" customHeight="1">
      <c r="E297" s="28"/>
      <c r="F297" s="28"/>
      <c r="G297" s="28"/>
      <c r="H297" s="28"/>
      <c r="I297" s="28"/>
      <c r="L297" s="29"/>
      <c r="M297" s="29"/>
      <c r="N297" s="29"/>
      <c r="O297" s="28"/>
      <c r="P297" s="28"/>
      <c r="S297" s="29"/>
      <c r="T297" s="29"/>
      <c r="U297" s="29"/>
      <c r="V297" s="28"/>
      <c r="W297" s="28"/>
      <c r="Z297" s="29"/>
      <c r="AA297" s="29"/>
      <c r="AB297" s="29"/>
      <c r="AC297" s="28"/>
      <c r="AD297" s="28"/>
      <c r="AG297" s="29"/>
      <c r="AH297" s="29"/>
      <c r="AI297" s="29"/>
      <c r="AJ297" s="26"/>
    </row>
  </sheetData>
  <mergeCells count="36">
    <mergeCell ref="AJ2:AJ4"/>
    <mergeCell ref="J4:K4"/>
    <mergeCell ref="Q4:R4"/>
    <mergeCell ref="X4:Y4"/>
    <mergeCell ref="AE4:AF4"/>
    <mergeCell ref="D2:G2"/>
    <mergeCell ref="H2:N2"/>
    <mergeCell ref="O2:U2"/>
    <mergeCell ref="V2:AB2"/>
    <mergeCell ref="AC2:AI2"/>
    <mergeCell ref="H14:I14"/>
    <mergeCell ref="O14:P14"/>
    <mergeCell ref="V14:W14"/>
    <mergeCell ref="AC14:AD14"/>
    <mergeCell ref="A15:B15"/>
    <mergeCell ref="H15:I15"/>
    <mergeCell ref="O15:P15"/>
    <mergeCell ref="A13:B13"/>
    <mergeCell ref="H13:I13"/>
    <mergeCell ref="O13:P13"/>
    <mergeCell ref="V13:W13"/>
    <mergeCell ref="AC13:AD13"/>
    <mergeCell ref="H20:M20"/>
    <mergeCell ref="O20:T20"/>
    <mergeCell ref="V20:AA20"/>
    <mergeCell ref="AC20:AH20"/>
    <mergeCell ref="V15:W15"/>
    <mergeCell ref="AC15:AD15"/>
    <mergeCell ref="H19:M19"/>
    <mergeCell ref="O19:T19"/>
    <mergeCell ref="V19:AA19"/>
    <mergeCell ref="AC19:AH19"/>
    <mergeCell ref="H18:M18"/>
    <mergeCell ref="O18:T18"/>
    <mergeCell ref="V18:AA18"/>
    <mergeCell ref="AC18:AH18"/>
  </mergeCells>
  <pageMargins left="0.25" right="0.25" top="0.75" bottom="0.75" header="0.3" footer="0.3"/>
  <pageSetup scale="44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YR1</vt:lpstr>
      <vt:lpstr>YR2</vt:lpstr>
    </vt:vector>
  </TitlesOfParts>
  <Company>PHPT / Harvard School of Public Health / IID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HAART Monitoring Strategies in HIV Infected Parents inThailand</dc:title>
  <dc:subject>NIH PHS398 FORMS  Budget Pages HD 042964-01</dc:subject>
  <dc:creator>Gonzague</dc:creator>
  <cp:lastModifiedBy>Radhika Khetani</cp:lastModifiedBy>
  <cp:lastPrinted>2014-04-30T14:40:47Z</cp:lastPrinted>
  <dcterms:created xsi:type="dcterms:W3CDTF">1998-09-03T15:01:39Z</dcterms:created>
  <dcterms:modified xsi:type="dcterms:W3CDTF">2016-11-02T20:47:00Z</dcterms:modified>
</cp:coreProperties>
</file>